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est List" sheetId="1" state="visible" r:id="rId3"/>
    <sheet name="Budget" sheetId="2" state="visible" r:id="rId4"/>
    <sheet name="Indian Food" sheetId="3" state="visible" r:id="rId5"/>
    <sheet name="American Dinner" sheetId="4" state="visible" r:id="rId6"/>
    <sheet name="Guest Codes" sheetId="5" state="visible" r:id="rId7"/>
    <sheet name="Original (backup)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6" authorId="0">
      <text>
        <r>
          <rPr>
            <sz val="10"/>
            <rFont val="Arial"/>
            <family val="2"/>
          </rPr>
          <t xml:space="preserve">Under India per original sheet (Pradeep and Gulnar).</t>
        </r>
      </text>
    </comment>
    <comment ref="A17" authorId="0">
      <text>
        <r>
          <rPr>
            <sz val="10"/>
            <rFont val="Arial"/>
            <family val="2"/>
          </rPr>
          <t xml:space="preserve">Under India per original sheet (Sudhir and Pinki).</t>
        </r>
      </text>
    </comment>
    <comment ref="A18" authorId="0">
      <text>
        <r>
          <rPr>
            <sz val="10"/>
            <rFont val="Arial"/>
            <family val="2"/>
          </rPr>
          <t xml:space="preserve">Under India per original sheet (Sudhir and Pinki).</t>
        </r>
      </text>
    </comment>
    <comment ref="A19" authorId="0">
      <text>
        <r>
          <rPr>
            <sz val="10"/>
            <rFont val="Arial"/>
            <family val="2"/>
          </rPr>
          <t xml:space="preserve">City not specified in the list — placed under Richmond. Move the count to Other Cities or India if needed.</t>
        </r>
      </text>
    </comment>
    <comment ref="A20" authorId="0">
      <text>
        <r>
          <rPr>
            <sz val="10"/>
            <rFont val="Arial"/>
            <family val="2"/>
          </rPr>
          <t xml:space="preserve">City not specified in the list — placed under Richmond. Move the count to Other Cities or India if needed.</t>
        </r>
      </text>
    </comment>
    <comment ref="A21" authorId="0">
      <text>
        <r>
          <rPr>
            <sz val="10"/>
            <rFont val="Arial"/>
            <family val="2"/>
          </rPr>
          <t xml:space="preserve">Under India per original sheet.</t>
        </r>
      </text>
    </comment>
    <comment ref="A22" authorId="0">
      <text>
        <r>
          <rPr>
            <sz val="10"/>
            <rFont val="Arial"/>
            <family val="2"/>
          </rPr>
          <t xml:space="preserve">Under Other Cities per original sheet (Geeta and Ravi Varma).</t>
        </r>
      </text>
    </comment>
    <comment ref="A23" authorId="0">
      <text>
        <r>
          <rPr>
            <sz val="10"/>
            <rFont val="Arial"/>
            <family val="2"/>
          </rPr>
          <t xml:space="preserve">Under Other Cities per original sheet (Geeta and Ravi Varma).</t>
        </r>
      </text>
    </comment>
    <comment ref="A25" authorId="0">
      <text>
        <r>
          <rPr>
            <sz val="10"/>
            <rFont val="Arial"/>
            <family val="2"/>
          </rPr>
          <t xml:space="preserve">City not specified in the list — placed under Richmond. Move the count to Other Cities or India if needed.</t>
        </r>
      </text>
    </comment>
    <comment ref="A26" authorId="0">
      <text>
        <r>
          <rPr>
            <sz val="10"/>
            <rFont val="Arial"/>
            <family val="2"/>
          </rPr>
          <t xml:space="preserve">City not specified in the list — placed under Richmond. Move the count to Other Cities or India if needed.</t>
        </r>
      </text>
    </comment>
    <comment ref="A27" authorId="0">
      <text>
        <r>
          <rPr>
            <sz val="10"/>
            <rFont val="Arial"/>
            <family val="2"/>
          </rPr>
          <t xml:space="preserve">City not specified in the list — placed under Richmond. Move the count to Other Cities or India if needed.</t>
        </r>
      </text>
    </comment>
    <comment ref="A28" authorId="0">
      <text>
        <r>
          <rPr>
            <sz val="10"/>
            <rFont val="Arial"/>
            <family val="2"/>
          </rPr>
          <t xml:space="preserve">Under Other Cities per original sheet (Vinay Varma).</t>
        </r>
      </text>
    </comment>
    <comment ref="A29" authorId="0">
      <text>
        <r>
          <rPr>
            <sz val="10"/>
            <rFont val="Arial"/>
            <family val="2"/>
          </rPr>
          <t xml:space="preserve">Under India per original sheet (Neal and Anisha).</t>
        </r>
      </text>
    </comment>
    <comment ref="A30" authorId="0">
      <text>
        <r>
          <rPr>
            <sz val="10"/>
            <rFont val="Arial"/>
            <family val="2"/>
          </rPr>
          <t xml:space="preserve">City not specified in the list — placed under Richmond. Move the count to Other Cities or India if needed.</t>
        </r>
      </text>
    </comment>
    <comment ref="A31" authorId="0">
      <text>
        <r>
          <rPr>
            <sz val="10"/>
            <rFont val="Arial"/>
            <family val="2"/>
          </rPr>
          <t xml:space="preserve">Under India per original sheet (Siddarth).</t>
        </r>
      </text>
    </comment>
    <comment ref="A32" authorId="0">
      <text>
        <r>
          <rPr>
            <sz val="10"/>
            <rFont val="Arial"/>
            <family val="2"/>
          </rPr>
          <t xml:space="preserve">City not specified in the list — placed under Richmond. Move the count to Other Cities or India if needed.</t>
        </r>
      </text>
    </comment>
    <comment ref="A34" authorId="0">
      <text>
        <r>
          <rPr>
            <sz val="10"/>
            <rFont val="Arial"/>
            <family val="2"/>
          </rPr>
          <t xml:space="preserve">Placed with Neal (original sheet listed Neal and Anisha under India).</t>
        </r>
      </text>
    </comment>
    <comment ref="A35" authorId="0">
      <text>
        <r>
          <rPr>
            <sz val="10"/>
            <rFont val="Arial"/>
            <family val="2"/>
          </rPr>
          <t xml:space="preserve">Placed with Neal under India.</t>
        </r>
      </text>
    </comment>
    <comment ref="A37" authorId="0">
      <text>
        <r>
          <rPr>
            <sz val="10"/>
            <rFont val="Arial"/>
            <family val="2"/>
          </rPr>
          <t xml:space="preserve">City not specified in the list — placed under Richmond. Move the count to Other Cities or India if needed.</t>
        </r>
      </text>
    </comment>
    <comment ref="A38" authorId="0">
      <text>
        <r>
          <rPr>
            <sz val="10"/>
            <rFont val="Arial"/>
            <family val="2"/>
          </rPr>
          <t xml:space="preserve">City not specified in the list — placed under Richmond. Move the count to Other Cities or India if needed.</t>
        </r>
      </text>
    </comment>
    <comment ref="A50" authorId="0">
      <text>
        <r>
          <rPr>
            <sz val="10"/>
            <rFont val="Arial"/>
            <family val="2"/>
          </rPr>
          <t xml:space="preserve">City not specified in the list — placed under Richmond. Move the count to Other Cities or India if needed.</t>
        </r>
      </text>
    </comment>
    <comment ref="A51" authorId="0">
      <text>
        <r>
          <rPr>
            <sz val="10"/>
            <rFont val="Arial"/>
            <family val="2"/>
          </rPr>
          <t xml:space="preserve">Under Richmond per original sheet (Kabir row).</t>
        </r>
      </text>
    </comment>
    <comment ref="A52" authorId="0">
      <text>
        <r>
          <rPr>
            <sz val="10"/>
            <rFont val="Arial"/>
            <family val="2"/>
          </rPr>
          <t xml:space="preserve">Under Richmond per original sheet (Durga row). Nitika is tentative; her count is included.</t>
        </r>
      </text>
    </comment>
    <comment ref="A53" authorId="0">
      <text>
        <r>
          <rPr>
            <sz val="10"/>
            <rFont val="Arial"/>
            <family val="2"/>
          </rPr>
          <t xml:space="preserve">Under Richmond per original sheet (Appu rows).</t>
        </r>
      </text>
    </comment>
    <comment ref="A54" authorId="0">
      <text>
        <r>
          <rPr>
            <sz val="10"/>
            <rFont val="Arial"/>
            <family val="2"/>
          </rPr>
          <t xml:space="preserve">City not specified in the list — placed under Richmond. Move the count to Other Cities or India if needed.</t>
        </r>
      </text>
    </comment>
    <comment ref="A55" authorId="0">
      <text>
        <r>
          <rPr>
            <sz val="10"/>
            <rFont val="Arial"/>
            <family val="2"/>
          </rPr>
          <t xml:space="preserve">Under Richmond per original sheet (Ravi Kumar row).</t>
        </r>
      </text>
    </comment>
    <comment ref="A56" authorId="0">
      <text>
        <r>
          <rPr>
            <sz val="10"/>
            <rFont val="Arial"/>
            <family val="2"/>
          </rPr>
          <t xml:space="preserve">Apu is the mother of Sarah and Shelly. Her husband is noted but not counted — change the count to 4 to include him.</t>
        </r>
      </text>
    </comment>
    <comment ref="A57" authorId="0">
      <text>
        <r>
          <rPr>
            <sz val="10"/>
            <rFont val="Arial"/>
            <family val="2"/>
          </rPr>
          <t xml:space="preserve">City not specified in the list — placed under Richmond. Move the count to Other Cities or India if needed.</t>
        </r>
      </text>
    </comment>
    <comment ref="A70" authorId="0">
      <text>
        <r>
          <rPr>
            <sz val="10"/>
            <rFont val="Arial"/>
            <family val="2"/>
          </rPr>
          <t xml:space="preserve">Tentative estimate — update once confirmed.</t>
        </r>
      </text>
    </comment>
    <comment ref="A71" authorId="0">
      <text>
        <r>
          <rPr>
            <sz val="10"/>
            <rFont val="Arial"/>
            <family val="2"/>
          </rPr>
          <t xml:space="preserve">Tentative estimate — update once confirmed.</t>
        </r>
      </text>
    </comment>
  </commentList>
</comments>
</file>

<file path=xl/sharedStrings.xml><?xml version="1.0" encoding="utf-8"?>
<sst xmlns="http://schemas.openxmlformats.org/spreadsheetml/2006/main" count="400" uniqueCount="285">
  <si>
    <t xml:space="preserve">Guest List</t>
  </si>
  <si>
    <t xml:space="preserve">RICHMOND GROOM GUEST</t>
  </si>
  <si>
    <t xml:space="preserve">OTHER CITIES</t>
  </si>
  <si>
    <t xml:space="preserve">INDIA GROOM GUESTS</t>
  </si>
  <si>
    <t xml:space="preserve">SHARON'S FAMILY AND FRIENDS</t>
  </si>
  <si>
    <t xml:space="preserve">TOTAL</t>
  </si>
  <si>
    <t xml:space="preserve">GROOM'S SIDE — IMMEDIATE FAMILY</t>
  </si>
  <si>
    <t xml:space="preserve">Zachary (Groom)</t>
  </si>
  <si>
    <t xml:space="preserve">Mother – Rashmi</t>
  </si>
  <si>
    <t xml:space="preserve">Sister – Amy</t>
  </si>
  <si>
    <t xml:space="preserve">Amy's Husband – Chris</t>
  </si>
  <si>
    <t xml:space="preserve">Sister – Ashley</t>
  </si>
  <si>
    <t xml:space="preserve">Ashley's Husband – Joe</t>
  </si>
  <si>
    <t xml:space="preserve">Linda</t>
  </si>
  <si>
    <t xml:space="preserve">Shawn</t>
  </si>
  <si>
    <t xml:space="preserve">Mia</t>
  </si>
  <si>
    <t xml:space="preserve">Dexter</t>
  </si>
  <si>
    <t xml:space="preserve">Taylor</t>
  </si>
  <si>
    <t xml:space="preserve">Anthony</t>
  </si>
  <si>
    <t xml:space="preserve">GROOM'S SIDE — AUNTS &amp; UNCLES (MOM'S SIDE)</t>
  </si>
  <si>
    <t xml:space="preserve">Pradeep</t>
  </si>
  <si>
    <t xml:space="preserve">Sudhir</t>
  </si>
  <si>
    <t xml:space="preserve">Pinki</t>
  </si>
  <si>
    <t xml:space="preserve">Vikram</t>
  </si>
  <si>
    <t xml:space="preserve">Sonya</t>
  </si>
  <si>
    <t xml:space="preserve">Mini</t>
  </si>
  <si>
    <t xml:space="preserve">Ravi</t>
  </si>
  <si>
    <t xml:space="preserve">Geeta</t>
  </si>
  <si>
    <t xml:space="preserve">GROOM'S SIDE — COUSINS (MOM'S SIDE)</t>
  </si>
  <si>
    <t xml:space="preserve">Dhruv</t>
  </si>
  <si>
    <t xml:space="preserve">Ridhi</t>
  </si>
  <si>
    <t xml:space="preserve">Ruchi</t>
  </si>
  <si>
    <t xml:space="preserve">Vinay</t>
  </si>
  <si>
    <t xml:space="preserve">Neal</t>
  </si>
  <si>
    <t xml:space="preserve">Rahul</t>
  </si>
  <si>
    <t xml:space="preserve">Sid</t>
  </si>
  <si>
    <t xml:space="preserve">Saurabh</t>
  </si>
  <si>
    <t xml:space="preserve">GROOM'S SIDE — COUSINS' SPOUSES / PARTNERS</t>
  </si>
  <si>
    <t xml:space="preserve">Aneesha</t>
  </si>
  <si>
    <t xml:space="preserve">Sarika (Neal's wife)</t>
  </si>
  <si>
    <t xml:space="preserve">GROOM'S SIDE — COUSINS' CHILDREN</t>
  </si>
  <si>
    <t xml:space="preserve">Asher</t>
  </si>
  <si>
    <t xml:space="preserve">Simran</t>
  </si>
  <si>
    <t xml:space="preserve">GROOM'S SIDE — FRIENDS</t>
  </si>
  <si>
    <t xml:space="preserve">Zed</t>
  </si>
  <si>
    <t xml:space="preserve">Brianna</t>
  </si>
  <si>
    <t xml:space="preserve">Brian</t>
  </si>
  <si>
    <t xml:space="preserve">Sincere</t>
  </si>
  <si>
    <t xml:space="preserve">Nick</t>
  </si>
  <si>
    <t xml:space="preserve">GROOM'S SIDE — GROOMSMEN</t>
  </si>
  <si>
    <t xml:space="preserve">Jon (Best Man)</t>
  </si>
  <si>
    <t xml:space="preserve">Carson</t>
  </si>
  <si>
    <t xml:space="preserve">Sam</t>
  </si>
  <si>
    <t xml:space="preserve">RASHMI'S FRIENDS &amp; FAMILY FRIENDS</t>
  </si>
  <si>
    <t xml:space="preserve">Herpal Family (Herpal, Maheer, Roshni)</t>
  </si>
  <si>
    <t xml:space="preserve">Raju &amp; Herleen Family (Raju, Herleen, Kabir, Kabir's Wife)</t>
  </si>
  <si>
    <t xml:space="preserve">Durga Family (Durga Aunty, Ritika, Nitika – tentative)</t>
  </si>
  <si>
    <t xml:space="preserve">Tony &amp; Alka Family (Tony, Alka, Sajin, Samay)</t>
  </si>
  <si>
    <t xml:space="preserve">Gita Aunty</t>
  </si>
  <si>
    <t xml:space="preserve">Pratima &amp; Ravi</t>
  </si>
  <si>
    <t xml:space="preserve">Apu Aunty Family (Apu Aunty, Sarah, Shelly) + husband (noted)</t>
  </si>
  <si>
    <t xml:space="preserve">Abba Aunty Family (Abba Aunty, Ushwin)</t>
  </si>
  <si>
    <t xml:space="preserve">BRIDE'S SIDE — SHARON ESPAÑA — IMMEDIATE FAMILY</t>
  </si>
  <si>
    <t xml:space="preserve">Sharon (Bride)</t>
  </si>
  <si>
    <t xml:space="preserve">Mother – Yuly</t>
  </si>
  <si>
    <t xml:space="preserve">Father – Rudy</t>
  </si>
  <si>
    <t xml:space="preserve">Sister – Lynda</t>
  </si>
  <si>
    <t xml:space="preserve">Lynda's Husband – Dylan</t>
  </si>
  <si>
    <t xml:space="preserve">Sister – Alexia</t>
  </si>
  <si>
    <t xml:space="preserve">Sister – Gaby</t>
  </si>
  <si>
    <t xml:space="preserve">Gaby's Husband – David</t>
  </si>
  <si>
    <t xml:space="preserve">Sebastian</t>
  </si>
  <si>
    <t xml:space="preserve">Lindsay</t>
  </si>
  <si>
    <t xml:space="preserve">BRIDE'S SIDE — EXTENDED FAMILY (TENTATIVE)</t>
  </si>
  <si>
    <t xml:space="preserve">Aunts &amp; Uncles (estimate, up to 5)</t>
  </si>
  <si>
    <t xml:space="preserve">Cousins (estimate, up to 5)</t>
  </si>
  <si>
    <t xml:space="preserve">BRIDE'S SIDE — FRIENDS</t>
  </si>
  <si>
    <t xml:space="preserve">Charnae</t>
  </si>
  <si>
    <t xml:space="preserve">Olivia Leon Vitervo</t>
  </si>
  <si>
    <t xml:space="preserve">Yamilet Macias</t>
  </si>
  <si>
    <t xml:space="preserve">Kulsoom</t>
  </si>
  <si>
    <t xml:space="preserve">Loey</t>
  </si>
  <si>
    <t xml:space="preserve">Names with no city info are under RICHMOND — hover a name for its note. Bride's extended family rows are tentative estimates. Original sheet kept unchanged on the 'Original (backup)' tab.</t>
  </si>
  <si>
    <t xml:space="preserve">Category</t>
  </si>
  <si>
    <t xml:space="preserve">Budget</t>
  </si>
  <si>
    <t xml:space="preserve">Lydia Mountain Venue</t>
  </si>
  <si>
    <t xml:space="preserve">Reception Catering (Steak, Salmon, Hors d'oeuvres, Alcohol)</t>
  </si>
  <si>
    <t xml:space="preserve">Indian Buffet</t>
  </si>
  <si>
    <t xml:space="preserve">Mehndi / Welcome Dinner</t>
  </si>
  <si>
    <t xml:space="preserve">Photographer</t>
  </si>
  <si>
    <t xml:space="preserve">Bride Hair &amp; Makeup</t>
  </si>
  <si>
    <t xml:space="preserve">Bride Attire (Wedding Dress, Indian Outfit, Alterations)</t>
  </si>
  <si>
    <t xml:space="preserve">Groom Attire (Suit, Sherwani, Shoes)</t>
  </si>
  <si>
    <t xml:space="preserve">Cabins / Lodging</t>
  </si>
  <si>
    <t xml:space="preserve">DJ</t>
  </si>
  <si>
    <t xml:space="preserve">Florals</t>
  </si>
  <si>
    <t xml:space="preserve">Invitations / Stationery</t>
  </si>
  <si>
    <t xml:space="preserve">Ceremony Items (Mandap, Priest, Décor, etc.)</t>
  </si>
  <si>
    <t xml:space="preserve">Miscellaneous / Contingency</t>
  </si>
  <si>
    <t xml:space="preserve">COCKTAIL / WELCOME HOUR</t>
  </si>
  <si>
    <t xml:space="preserve">Item</t>
  </si>
  <si>
    <t xml:space="preserve">Qty</t>
  </si>
  <si>
    <t xml:space="preserve">Unit Price</t>
  </si>
  <si>
    <t xml:space="preserve">Total</t>
  </si>
  <si>
    <t xml:space="preserve">Gol Gappa (Pani Puri)</t>
  </si>
  <si>
    <t xml:space="preserve">2 trays/stations</t>
  </si>
  <si>
    <t xml:space="preserve">Chaat (Papdi/Aloo Tikki)</t>
  </si>
  <si>
    <t xml:space="preserve">2 trays</t>
  </si>
  <si>
    <t xml:space="preserve">Cucumber &amp; Cream Cheese Sandwiches</t>
  </si>
  <si>
    <t xml:space="preserve">Vegetable Samosas</t>
  </si>
  <si>
    <t xml:space="preserve">Vegetable Pakoras</t>
  </si>
  <si>
    <t xml:space="preserve">Mango Lassi</t>
  </si>
  <si>
    <t xml:space="preserve">Bulk</t>
  </si>
  <si>
    <t xml:space="preserve">—</t>
  </si>
  <si>
    <t xml:space="preserve">Masala Chai</t>
  </si>
  <si>
    <t xml:space="preserve">Water &amp; Soft Drinks</t>
  </si>
  <si>
    <t xml:space="preserve">COCKTAIL / WELCOME HOUR TOTAL</t>
  </si>
  <si>
    <t xml:space="preserve">MAIN BUFFET</t>
  </si>
  <si>
    <t xml:space="preserve">Butter Chicken</t>
  </si>
  <si>
    <t xml:space="preserve">3 trays</t>
  </si>
  <si>
    <t xml:space="preserve">Goat/Lamb Curry</t>
  </si>
  <si>
    <t xml:space="preserve">Paneer</t>
  </si>
  <si>
    <t xml:space="preserve">4 trays</t>
  </si>
  <si>
    <t xml:space="preserve">Dal</t>
  </si>
  <si>
    <t xml:space="preserve">Rajma</t>
  </si>
  <si>
    <t xml:space="preserve">Mixed Vegetable Curry</t>
  </si>
  <si>
    <t xml:space="preserve">Basmati Rice</t>
  </si>
  <si>
    <t xml:space="preserve">Fresh Naan</t>
  </si>
  <si>
    <t xml:space="preserve">300 pieces</t>
  </si>
  <si>
    <t xml:space="preserve">Raita</t>
  </si>
  <si>
    <t xml:space="preserve">Mixed Salad</t>
  </si>
  <si>
    <t xml:space="preserve">MAIN BUFFET TOTAL</t>
  </si>
  <si>
    <t xml:space="preserve">DESSERTS</t>
  </si>
  <si>
    <t xml:space="preserve">Gulab Jamun</t>
  </si>
  <si>
    <t xml:space="preserve">Rasmalai</t>
  </si>
  <si>
    <t xml:space="preserve">1 tray</t>
  </si>
  <si>
    <t xml:space="preserve">Kheer (optional)</t>
  </si>
  <si>
    <t xml:space="preserve">DESSERTS TOTAL</t>
  </si>
  <si>
    <t xml:space="preserve">GRAND TOTAL</t>
  </si>
  <si>
    <t xml:space="preserve">Section</t>
  </si>
  <si>
    <t xml:space="preserve">Cost</t>
  </si>
  <si>
    <t xml:space="preserve">Cocktail / Welcome Hour</t>
  </si>
  <si>
    <t xml:space="preserve">Main Buffet</t>
  </si>
  <si>
    <t xml:space="preserve">Desserts</t>
  </si>
  <si>
    <t xml:space="preserve">ESTIMATED TOTAL</t>
  </si>
  <si>
    <t xml:space="preserve">AMERICAN DINNER — $115 PER PERSON</t>
  </si>
  <si>
    <t xml:space="preserve">INCLUDED IN PRICE</t>
  </si>
  <si>
    <t xml:space="preserve">Status</t>
  </si>
  <si>
    <t xml:space="preserve">Entrée – Steak</t>
  </si>
  <si>
    <t xml:space="preserve">Included</t>
  </si>
  <si>
    <t xml:space="preserve">Entrée – Glazed Salmon</t>
  </si>
  <si>
    <t xml:space="preserve">Side – Mashed Potatoes</t>
  </si>
  <si>
    <t xml:space="preserve">Confirmed</t>
  </si>
  <si>
    <t xml:space="preserve">Side – Asparagus</t>
  </si>
  <si>
    <t xml:space="preserve">Side #3 (TBD)</t>
  </si>
  <si>
    <t xml:space="preserve">To choose</t>
  </si>
  <si>
    <t xml:space="preserve">Side #4 (TBD)</t>
  </si>
  <si>
    <t xml:space="preserve">Side #5 (optional, TBD)</t>
  </si>
  <si>
    <t xml:space="preserve">Wedding Cake</t>
  </si>
  <si>
    <t xml:space="preserve">Dessert #2 (TBD)</t>
  </si>
  <si>
    <t xml:space="preserve">Alcohol</t>
  </si>
  <si>
    <t xml:space="preserve">4–5 sides total; two desserts total (cake + one more). Update TBD rows once chosen.</t>
  </si>
  <si>
    <t xml:space="preserve">COST</t>
  </si>
  <si>
    <t xml:space="preserve">Price per person</t>
  </si>
  <si>
    <t xml:space="preserve">Guest count (live from Guest List tab)</t>
  </si>
  <si>
    <t xml:space="preserve">Budgeted (Reception Catering, Budget tab)</t>
  </si>
  <si>
    <t xml:space="preserve">Budget remaining vs estimate</t>
  </si>
  <si>
    <t xml:space="preserve">COST BY HEADCOUNT</t>
  </si>
  <si>
    <t xml:space="preserve">Guests</t>
  </si>
  <si>
    <t xml:space="preserve">Yellow cell = price-per-person input; change it and every total recalculates.</t>
  </si>
  <si>
    <t xml:space="preserve">Guest / Party</t>
  </si>
  <si>
    <t xml:space="preserve">Seats</t>
  </si>
  <si>
    <t xml:space="preserve">Invitation Code</t>
  </si>
  <si>
    <t xml:space="preserve">OAKLEAF-3800</t>
  </si>
  <si>
    <t xml:space="preserve">CEDAR-7677</t>
  </si>
  <si>
    <t xml:space="preserve">ASPEN-4698</t>
  </si>
  <si>
    <t xml:space="preserve">BIRCH-7144</t>
  </si>
  <si>
    <t xml:space="preserve">ORCHARD-8836</t>
  </si>
  <si>
    <t xml:space="preserve">LANTERN-6818</t>
  </si>
  <si>
    <t xml:space="preserve">ACORN-8710</t>
  </si>
  <si>
    <t xml:space="preserve">CEDAR-8710</t>
  </si>
  <si>
    <t xml:space="preserve">CIDER-4145</t>
  </si>
  <si>
    <t xml:space="preserve">MAPLE-6029</t>
  </si>
  <si>
    <t xml:space="preserve">HICKORY-6763</t>
  </si>
  <si>
    <t xml:space="preserve">BIRCH-5796</t>
  </si>
  <si>
    <t xml:space="preserve">ACORN-2433</t>
  </si>
  <si>
    <t xml:space="preserve">SUMAC-3680</t>
  </si>
  <si>
    <t xml:space="preserve">ACORN-4996</t>
  </si>
  <si>
    <t xml:space="preserve">CEDAR-4049</t>
  </si>
  <si>
    <t xml:space="preserve">ACORN-4066</t>
  </si>
  <si>
    <t xml:space="preserve">LANTERN-8441</t>
  </si>
  <si>
    <t xml:space="preserve">WILLOW-7668</t>
  </si>
  <si>
    <t xml:space="preserve">ORCHARD-8089</t>
  </si>
  <si>
    <t xml:space="preserve">CIDER-1009</t>
  </si>
  <si>
    <t xml:space="preserve">ACORN-2626</t>
  </si>
  <si>
    <t xml:space="preserve">WILLOW-1368</t>
  </si>
  <si>
    <t xml:space="preserve">AUTUMN-8971</t>
  </si>
  <si>
    <t xml:space="preserve">ASPEN-6445</t>
  </si>
  <si>
    <t xml:space="preserve">SUMAC-7947</t>
  </si>
  <si>
    <t xml:space="preserve">MAPLE-5700</t>
  </si>
  <si>
    <t xml:space="preserve">LANTERN-4227</t>
  </si>
  <si>
    <t xml:space="preserve">EMBER-7861</t>
  </si>
  <si>
    <t xml:space="preserve">SUMAC-6103</t>
  </si>
  <si>
    <t xml:space="preserve">ASPEN-4723</t>
  </si>
  <si>
    <t xml:space="preserve">SUMAC-2890</t>
  </si>
  <si>
    <t xml:space="preserve">CIDER-7296</t>
  </si>
  <si>
    <t xml:space="preserve">MAPLE-7458</t>
  </si>
  <si>
    <t xml:space="preserve">HARVEST-8579</t>
  </si>
  <si>
    <t xml:space="preserve">HARVEST-9297</t>
  </si>
  <si>
    <t xml:space="preserve">HICKORY-9164</t>
  </si>
  <si>
    <t xml:space="preserve">OAKLEAF-2282</t>
  </si>
  <si>
    <t xml:space="preserve">SUMAC-8377</t>
  </si>
  <si>
    <t xml:space="preserve">LANTERN-1355</t>
  </si>
  <si>
    <t xml:space="preserve">FOLIAGE-8762</t>
  </si>
  <si>
    <t xml:space="preserve">SUMAC-6864</t>
  </si>
  <si>
    <t xml:space="preserve">OAKLEAF-2211</t>
  </si>
  <si>
    <t xml:space="preserve">BIRCH-7320</t>
  </si>
  <si>
    <t xml:space="preserve">ACORN-9780</t>
  </si>
  <si>
    <t xml:space="preserve">FOLIAGE-4415</t>
  </si>
  <si>
    <t xml:space="preserve">MAPLE-5297</t>
  </si>
  <si>
    <t xml:space="preserve">ASPEN-5950</t>
  </si>
  <si>
    <t xml:space="preserve">BIRCH-6369</t>
  </si>
  <si>
    <t xml:space="preserve">AUTUMN-2698</t>
  </si>
  <si>
    <t xml:space="preserve">CEDAR-2534</t>
  </si>
  <si>
    <t xml:space="preserve">OAKLEAF-1142</t>
  </si>
  <si>
    <t xml:space="preserve">WILLOW-5607</t>
  </si>
  <si>
    <t xml:space="preserve">FOLIAGE-8534</t>
  </si>
  <si>
    <t xml:space="preserve">EMBER-1829</t>
  </si>
  <si>
    <t xml:space="preserve">ORCHARD-5684</t>
  </si>
  <si>
    <t xml:space="preserve">WILLOW-8400</t>
  </si>
  <si>
    <t xml:space="preserve">BIRCH-8183</t>
  </si>
  <si>
    <t xml:space="preserve">LANTERN-5785</t>
  </si>
  <si>
    <t xml:space="preserve">BIRCH-3721</t>
  </si>
  <si>
    <t xml:space="preserve">FOLIAGE-9690</t>
  </si>
  <si>
    <t xml:space="preserve">61 codes issued — one per guest or household. Share each code with its invitation; guests enter it on the website to RSVP. Bride's tentative extended-family rows and the couple have no codes.</t>
  </si>
  <si>
    <t xml:space="preserve">BRIDE &amp; GROOM</t>
  </si>
  <si>
    <t xml:space="preserve">GROOM'S MOTHER</t>
  </si>
  <si>
    <t xml:space="preserve">PANDIT JI</t>
  </si>
  <si>
    <t xml:space="preserve">AMY DODSON</t>
  </si>
  <si>
    <t xml:space="preserve">ASHLEY</t>
  </si>
  <si>
    <t xml:space="preserve">FITZMAURICE</t>
  </si>
  <si>
    <t xml:space="preserve">YAT FAMILY (PARENTS)</t>
  </si>
  <si>
    <t xml:space="preserve">SHARON'S SISTER'S SPOUSES</t>
  </si>
  <si>
    <t xml:space="preserve">SHARON'S FRIENDS</t>
  </si>
  <si>
    <t xml:space="preserve">GEETA AND RAVI VARMA</t>
  </si>
  <si>
    <t xml:space="preserve">LAMONT FAMILY</t>
  </si>
  <si>
    <t xml:space="preserve">KAMLESH VARMA </t>
  </si>
  <si>
    <t xml:space="preserve">VINAY VARMA</t>
  </si>
  <si>
    <t xml:space="preserve">AMIT VARMA</t>
  </si>
  <si>
    <t xml:space="preserve">BATRA</t>
  </si>
  <si>
    <t xml:space="preserve">PRASAD</t>
  </si>
  <si>
    <t xml:space="preserve">SODHI</t>
  </si>
  <si>
    <t xml:space="preserve">KABIR AND DIVITA</t>
  </si>
  <si>
    <t xml:space="preserve">BAWAS</t>
  </si>
  <si>
    <t xml:space="preserve">RAJNI TREHAN</t>
  </si>
  <si>
    <t xml:space="preserve">KHANNA</t>
  </si>
  <si>
    <t xml:space="preserve">SHARMA</t>
  </si>
  <si>
    <t xml:space="preserve">CHUG</t>
  </si>
  <si>
    <t xml:space="preserve">APPU</t>
  </si>
  <si>
    <t xml:space="preserve">APPU'S DAUGHTERS</t>
  </si>
  <si>
    <t xml:space="preserve">BHOLI</t>
  </si>
  <si>
    <t xml:space="preserve">JASSI</t>
  </si>
  <si>
    <t xml:space="preserve">CHOPRA</t>
  </si>
  <si>
    <t xml:space="preserve">JASMINE</t>
  </si>
  <si>
    <t xml:space="preserve">DURGA</t>
  </si>
  <si>
    <t xml:space="preserve">LAVEENA, NITIKA AND RITU</t>
  </si>
  <si>
    <t xml:space="preserve">ALKA</t>
  </si>
  <si>
    <t xml:space="preserve">SAMAY</t>
  </si>
  <si>
    <t xml:space="preserve">AMAN</t>
  </si>
  <si>
    <t xml:space="preserve">SREEDHAR</t>
  </si>
  <si>
    <t xml:space="preserve">SHRUTI</t>
  </si>
  <si>
    <t xml:space="preserve">SUDHIR AND PINKI</t>
  </si>
  <si>
    <t xml:space="preserve">PRADEEP AND GULNAR</t>
  </si>
  <si>
    <t xml:space="preserve">NEAL AND ANISHA</t>
  </si>
  <si>
    <t xml:space="preserve">MINI</t>
  </si>
  <si>
    <t xml:space="preserve">SIDDARTH</t>
  </si>
  <si>
    <t xml:space="preserve">SONU</t>
  </si>
  <si>
    <t xml:space="preserve">CARSON- ZACH'S FRIEND</t>
  </si>
  <si>
    <t xml:space="preserve">ZACH'S FRIEND</t>
  </si>
  <si>
    <t xml:space="preserve">CHARLES WILLIAM</t>
  </si>
  <si>
    <t xml:space="preserve">SHAGUN KATYAL</t>
  </si>
  <si>
    <t xml:space="preserve">RAVI KUMAR</t>
  </si>
  <si>
    <t xml:space="preserve">SWEETY KOCHER</t>
  </si>
  <si>
    <t xml:space="preserve">Raju Madhok</t>
  </si>
  <si>
    <t xml:space="preserve">Manu Madhok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</si>
</sst>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\$#,##0;&quot;($&quot;#,##0\)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sz val="10"/>
      <name val="Arial"/>
      <family val="2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3"/>
    <col collapsed="false" customWidth="true" hidden="false" outlineLevel="0" max="6" min="6" style="0" width="10"/>
  </cols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</row>
    <row r="3" customFormat="false" ht="15" hidden="false" customHeight="false" outlineLevel="0" collapsed="false">
      <c r="A3" s="3" t="s">
        <v>7</v>
      </c>
      <c r="B3" s="3" t="n">
        <v>1</v>
      </c>
    </row>
    <row r="4" customFormat="false" ht="15" hidden="false" customHeight="false" outlineLevel="0" collapsed="false">
      <c r="A4" s="3" t="s">
        <v>8</v>
      </c>
      <c r="B4" s="3" t="n">
        <v>1</v>
      </c>
    </row>
    <row r="5" customFormat="false" ht="15" hidden="false" customHeight="false" outlineLevel="0" collapsed="false">
      <c r="A5" s="3" t="s">
        <v>9</v>
      </c>
      <c r="B5" s="3" t="n">
        <v>1</v>
      </c>
    </row>
    <row r="6" customFormat="false" ht="15" hidden="false" customHeight="false" outlineLevel="0" collapsed="false">
      <c r="A6" s="3" t="s">
        <v>10</v>
      </c>
      <c r="B6" s="3" t="n">
        <v>1</v>
      </c>
    </row>
    <row r="7" customFormat="false" ht="15" hidden="false" customHeight="false" outlineLevel="0" collapsed="false">
      <c r="A7" s="3" t="s">
        <v>11</v>
      </c>
      <c r="B7" s="3" t="n">
        <v>1</v>
      </c>
    </row>
    <row r="8" customFormat="false" ht="15" hidden="false" customHeight="false" outlineLevel="0" collapsed="false">
      <c r="A8" s="3" t="s">
        <v>12</v>
      </c>
      <c r="B8" s="3" t="n">
        <v>1</v>
      </c>
    </row>
    <row r="9" customFormat="false" ht="15" hidden="false" customHeight="false" outlineLevel="0" collapsed="false">
      <c r="A9" s="3" t="s">
        <v>13</v>
      </c>
      <c r="B9" s="3" t="n">
        <v>1</v>
      </c>
    </row>
    <row r="10" customFormat="false" ht="15" hidden="false" customHeight="false" outlineLevel="0" collapsed="false">
      <c r="A10" s="3" t="s">
        <v>14</v>
      </c>
      <c r="B10" s="3" t="n">
        <v>1</v>
      </c>
    </row>
    <row r="11" customFormat="false" ht="15" hidden="false" customHeight="false" outlineLevel="0" collapsed="false">
      <c r="A11" s="3" t="s">
        <v>15</v>
      </c>
      <c r="B11" s="3" t="n">
        <v>1</v>
      </c>
    </row>
    <row r="12" customFormat="false" ht="15" hidden="false" customHeight="false" outlineLevel="0" collapsed="false">
      <c r="A12" s="3" t="s">
        <v>16</v>
      </c>
      <c r="B12" s="3" t="n">
        <v>1</v>
      </c>
    </row>
    <row r="13" customFormat="false" ht="15" hidden="false" customHeight="false" outlineLevel="0" collapsed="false">
      <c r="A13" s="3" t="s">
        <v>17</v>
      </c>
      <c r="B13" s="3" t="n">
        <v>1</v>
      </c>
    </row>
    <row r="14" customFormat="false" ht="15" hidden="false" customHeight="false" outlineLevel="0" collapsed="false">
      <c r="A14" s="3" t="s">
        <v>18</v>
      </c>
      <c r="B14" s="3" t="n">
        <v>1</v>
      </c>
    </row>
    <row r="15" customFormat="false" ht="15" hidden="false" customHeight="false" outlineLevel="0" collapsed="false">
      <c r="A15" s="2" t="s">
        <v>19</v>
      </c>
    </row>
    <row r="16" customFormat="false" ht="15" hidden="false" customHeight="false" outlineLevel="0" collapsed="false">
      <c r="A16" s="3" t="s">
        <v>20</v>
      </c>
      <c r="D16" s="3" t="n">
        <v>1</v>
      </c>
    </row>
    <row r="17" customFormat="false" ht="15" hidden="false" customHeight="false" outlineLevel="0" collapsed="false">
      <c r="A17" s="3" t="s">
        <v>21</v>
      </c>
      <c r="D17" s="3" t="n">
        <v>1</v>
      </c>
    </row>
    <row r="18" customFormat="false" ht="15" hidden="false" customHeight="false" outlineLevel="0" collapsed="false">
      <c r="A18" s="3" t="s">
        <v>22</v>
      </c>
      <c r="D18" s="3" t="n">
        <v>1</v>
      </c>
    </row>
    <row r="19" customFormat="false" ht="15" hidden="false" customHeight="false" outlineLevel="0" collapsed="false">
      <c r="A19" s="3" t="s">
        <v>23</v>
      </c>
      <c r="B19" s="3" t="n">
        <v>1</v>
      </c>
    </row>
    <row r="20" customFormat="false" ht="15" hidden="false" customHeight="false" outlineLevel="0" collapsed="false">
      <c r="A20" s="3" t="s">
        <v>24</v>
      </c>
      <c r="B20" s="3" t="n">
        <v>1</v>
      </c>
    </row>
    <row r="21" customFormat="false" ht="15" hidden="false" customHeight="false" outlineLevel="0" collapsed="false">
      <c r="A21" s="3" t="s">
        <v>25</v>
      </c>
      <c r="D21" s="3" t="n">
        <v>1</v>
      </c>
    </row>
    <row r="22" customFormat="false" ht="15" hidden="false" customHeight="false" outlineLevel="0" collapsed="false">
      <c r="A22" s="3" t="s">
        <v>26</v>
      </c>
      <c r="C22" s="3" t="n">
        <v>1</v>
      </c>
    </row>
    <row r="23" customFormat="false" ht="15" hidden="false" customHeight="false" outlineLevel="0" collapsed="false">
      <c r="A23" s="3" t="s">
        <v>27</v>
      </c>
      <c r="C23" s="3" t="n">
        <v>1</v>
      </c>
    </row>
    <row r="24" customFormat="false" ht="15" hidden="false" customHeight="false" outlineLevel="0" collapsed="false">
      <c r="A24" s="2" t="s">
        <v>28</v>
      </c>
    </row>
    <row r="25" customFormat="false" ht="15" hidden="false" customHeight="false" outlineLevel="0" collapsed="false">
      <c r="A25" s="3" t="s">
        <v>29</v>
      </c>
      <c r="B25" s="3" t="n">
        <v>1</v>
      </c>
    </row>
    <row r="26" customFormat="false" ht="15" hidden="false" customHeight="false" outlineLevel="0" collapsed="false">
      <c r="A26" s="3" t="s">
        <v>30</v>
      </c>
      <c r="B26" s="3" t="n">
        <v>1</v>
      </c>
    </row>
    <row r="27" customFormat="false" ht="15" hidden="false" customHeight="false" outlineLevel="0" collapsed="false">
      <c r="A27" s="3" t="s">
        <v>31</v>
      </c>
      <c r="B27" s="3" t="n">
        <v>1</v>
      </c>
    </row>
    <row r="28" customFormat="false" ht="15" hidden="false" customHeight="false" outlineLevel="0" collapsed="false">
      <c r="A28" s="3" t="s">
        <v>32</v>
      </c>
      <c r="C28" s="3" t="n">
        <v>1</v>
      </c>
    </row>
    <row r="29" customFormat="false" ht="15" hidden="false" customHeight="false" outlineLevel="0" collapsed="false">
      <c r="A29" s="3" t="s">
        <v>33</v>
      </c>
      <c r="D29" s="3" t="n">
        <v>1</v>
      </c>
    </row>
    <row r="30" customFormat="false" ht="15" hidden="false" customHeight="false" outlineLevel="0" collapsed="false">
      <c r="A30" s="3" t="s">
        <v>34</v>
      </c>
      <c r="B30" s="3" t="n">
        <v>1</v>
      </c>
    </row>
    <row r="31" customFormat="false" ht="15" hidden="false" customHeight="false" outlineLevel="0" collapsed="false">
      <c r="A31" s="3" t="s">
        <v>35</v>
      </c>
      <c r="D31" s="3" t="n">
        <v>1</v>
      </c>
    </row>
    <row r="32" customFormat="false" ht="15" hidden="false" customHeight="false" outlineLevel="0" collapsed="false">
      <c r="A32" s="3" t="s">
        <v>36</v>
      </c>
      <c r="B32" s="3" t="n">
        <v>1</v>
      </c>
    </row>
    <row r="33" customFormat="false" ht="15" hidden="false" customHeight="false" outlineLevel="0" collapsed="false">
      <c r="A33" s="2" t="s">
        <v>37</v>
      </c>
    </row>
    <row r="34" customFormat="false" ht="15" hidden="false" customHeight="false" outlineLevel="0" collapsed="false">
      <c r="A34" s="3" t="s">
        <v>38</v>
      </c>
      <c r="D34" s="3" t="n">
        <v>1</v>
      </c>
    </row>
    <row r="35" customFormat="false" ht="15" hidden="false" customHeight="false" outlineLevel="0" collapsed="false">
      <c r="A35" s="3" t="s">
        <v>39</v>
      </c>
      <c r="D35" s="3" t="n">
        <v>1</v>
      </c>
    </row>
    <row r="36" customFormat="false" ht="15" hidden="false" customHeight="false" outlineLevel="0" collapsed="false">
      <c r="A36" s="2" t="s">
        <v>40</v>
      </c>
    </row>
    <row r="37" customFormat="false" ht="15" hidden="false" customHeight="false" outlineLevel="0" collapsed="false">
      <c r="A37" s="3" t="s">
        <v>41</v>
      </c>
      <c r="B37" s="3" t="n">
        <v>1</v>
      </c>
    </row>
    <row r="38" customFormat="false" ht="15" hidden="false" customHeight="false" outlineLevel="0" collapsed="false">
      <c r="A38" s="3" t="s">
        <v>42</v>
      </c>
      <c r="B38" s="3" t="n">
        <v>1</v>
      </c>
    </row>
    <row r="39" customFormat="false" ht="15" hidden="false" customHeight="false" outlineLevel="0" collapsed="false">
      <c r="A39" s="2" t="s">
        <v>43</v>
      </c>
    </row>
    <row r="40" customFormat="false" ht="15" hidden="false" customHeight="false" outlineLevel="0" collapsed="false">
      <c r="A40" s="3" t="s">
        <v>44</v>
      </c>
      <c r="B40" s="3" t="n">
        <v>1</v>
      </c>
    </row>
    <row r="41" customFormat="false" ht="15" hidden="false" customHeight="false" outlineLevel="0" collapsed="false">
      <c r="A41" s="3" t="s">
        <v>45</v>
      </c>
      <c r="B41" s="3" t="n">
        <v>1</v>
      </c>
    </row>
    <row r="42" customFormat="false" ht="15" hidden="false" customHeight="false" outlineLevel="0" collapsed="false">
      <c r="A42" s="3" t="s">
        <v>46</v>
      </c>
      <c r="B42" s="3" t="n">
        <v>1</v>
      </c>
    </row>
    <row r="43" customFormat="false" ht="15" hidden="false" customHeight="false" outlineLevel="0" collapsed="false">
      <c r="A43" s="3" t="s">
        <v>47</v>
      </c>
      <c r="B43" s="3" t="n">
        <v>1</v>
      </c>
    </row>
    <row r="44" customFormat="false" ht="15" hidden="false" customHeight="false" outlineLevel="0" collapsed="false">
      <c r="A44" s="3" t="s">
        <v>48</v>
      </c>
      <c r="B44" s="3" t="n">
        <v>1</v>
      </c>
    </row>
    <row r="45" customFormat="false" ht="15" hidden="false" customHeight="false" outlineLevel="0" collapsed="false">
      <c r="A45" s="2" t="s">
        <v>49</v>
      </c>
    </row>
    <row r="46" customFormat="false" ht="15" hidden="false" customHeight="false" outlineLevel="0" collapsed="false">
      <c r="A46" s="3" t="s">
        <v>50</v>
      </c>
      <c r="B46" s="3" t="n">
        <v>1</v>
      </c>
    </row>
    <row r="47" customFormat="false" ht="15" hidden="false" customHeight="false" outlineLevel="0" collapsed="false">
      <c r="A47" s="3" t="s">
        <v>51</v>
      </c>
      <c r="B47" s="3" t="n">
        <v>1</v>
      </c>
    </row>
    <row r="48" customFormat="false" ht="15" hidden="false" customHeight="false" outlineLevel="0" collapsed="false">
      <c r="A48" s="3" t="s">
        <v>52</v>
      </c>
      <c r="B48" s="3" t="n">
        <v>1</v>
      </c>
    </row>
    <row r="49" customFormat="false" ht="15" hidden="false" customHeight="false" outlineLevel="0" collapsed="false">
      <c r="A49" s="2" t="s">
        <v>53</v>
      </c>
    </row>
    <row r="50" customFormat="false" ht="15" hidden="false" customHeight="false" outlineLevel="0" collapsed="false">
      <c r="A50" s="3" t="s">
        <v>54</v>
      </c>
      <c r="B50" s="3" t="n">
        <v>3</v>
      </c>
    </row>
    <row r="51" customFormat="false" ht="15" hidden="false" customHeight="false" outlineLevel="0" collapsed="false">
      <c r="A51" s="3" t="s">
        <v>55</v>
      </c>
      <c r="B51" s="3" t="n">
        <v>4</v>
      </c>
    </row>
    <row r="52" customFormat="false" ht="15" hidden="false" customHeight="false" outlineLevel="0" collapsed="false">
      <c r="A52" s="3" t="s">
        <v>56</v>
      </c>
      <c r="B52" s="3" t="n">
        <v>3</v>
      </c>
    </row>
    <row r="53" customFormat="false" ht="15" hidden="false" customHeight="false" outlineLevel="0" collapsed="false">
      <c r="A53" s="3" t="s">
        <v>57</v>
      </c>
      <c r="B53" s="3" t="n">
        <v>4</v>
      </c>
    </row>
    <row r="54" customFormat="false" ht="15" hidden="false" customHeight="false" outlineLevel="0" collapsed="false">
      <c r="A54" s="3" t="s">
        <v>58</v>
      </c>
      <c r="B54" s="3" t="n">
        <v>1</v>
      </c>
    </row>
    <row r="55" customFormat="false" ht="15" hidden="false" customHeight="false" outlineLevel="0" collapsed="false">
      <c r="A55" s="3" t="s">
        <v>59</v>
      </c>
      <c r="B55" s="3" t="n">
        <v>2</v>
      </c>
    </row>
    <row r="56" customFormat="false" ht="15" hidden="false" customHeight="false" outlineLevel="0" collapsed="false">
      <c r="A56" s="3" t="s">
        <v>60</v>
      </c>
      <c r="B56" s="3" t="n">
        <v>3</v>
      </c>
    </row>
    <row r="57" customFormat="false" ht="15" hidden="false" customHeight="false" outlineLevel="0" collapsed="false">
      <c r="A57" s="3" t="s">
        <v>61</v>
      </c>
      <c r="B57" s="3" t="n">
        <v>2</v>
      </c>
    </row>
    <row r="58" customFormat="false" ht="15" hidden="false" customHeight="false" outlineLevel="0" collapsed="false">
      <c r="A58" s="2" t="s">
        <v>62</v>
      </c>
    </row>
    <row r="59" customFormat="false" ht="15" hidden="false" customHeight="false" outlineLevel="0" collapsed="false">
      <c r="A59" s="3" t="s">
        <v>63</v>
      </c>
      <c r="E59" s="3" t="n">
        <v>1</v>
      </c>
    </row>
    <row r="60" customFormat="false" ht="15" hidden="false" customHeight="false" outlineLevel="0" collapsed="false">
      <c r="A60" s="3" t="s">
        <v>64</v>
      </c>
      <c r="E60" s="3" t="n">
        <v>1</v>
      </c>
    </row>
    <row r="61" customFormat="false" ht="15" hidden="false" customHeight="false" outlineLevel="0" collapsed="false">
      <c r="A61" s="3" t="s">
        <v>65</v>
      </c>
      <c r="E61" s="3" t="n">
        <v>1</v>
      </c>
    </row>
    <row r="62" customFormat="false" ht="15" hidden="false" customHeight="false" outlineLevel="0" collapsed="false">
      <c r="A62" s="3" t="s">
        <v>66</v>
      </c>
      <c r="E62" s="3" t="n">
        <v>1</v>
      </c>
    </row>
    <row r="63" customFormat="false" ht="15" hidden="false" customHeight="false" outlineLevel="0" collapsed="false">
      <c r="A63" s="3" t="s">
        <v>67</v>
      </c>
      <c r="E63" s="3" t="n">
        <v>1</v>
      </c>
    </row>
    <row r="64" customFormat="false" ht="15" hidden="false" customHeight="false" outlineLevel="0" collapsed="false">
      <c r="A64" s="3" t="s">
        <v>68</v>
      </c>
      <c r="E64" s="3" t="n">
        <v>1</v>
      </c>
    </row>
    <row r="65" customFormat="false" ht="15" hidden="false" customHeight="false" outlineLevel="0" collapsed="false">
      <c r="A65" s="3" t="s">
        <v>69</v>
      </c>
      <c r="E65" s="3" t="n">
        <v>1</v>
      </c>
    </row>
    <row r="66" customFormat="false" ht="15" hidden="false" customHeight="false" outlineLevel="0" collapsed="false">
      <c r="A66" s="3" t="s">
        <v>70</v>
      </c>
      <c r="E66" s="3" t="n">
        <v>1</v>
      </c>
    </row>
    <row r="67" customFormat="false" ht="15" hidden="false" customHeight="false" outlineLevel="0" collapsed="false">
      <c r="A67" s="3" t="s">
        <v>71</v>
      </c>
      <c r="E67" s="3" t="n">
        <v>1</v>
      </c>
    </row>
    <row r="68" customFormat="false" ht="15" hidden="false" customHeight="false" outlineLevel="0" collapsed="false">
      <c r="A68" s="3" t="s">
        <v>72</v>
      </c>
      <c r="E68" s="3" t="n">
        <v>1</v>
      </c>
    </row>
    <row r="69" customFormat="false" ht="15" hidden="false" customHeight="false" outlineLevel="0" collapsed="false">
      <c r="A69" s="2" t="s">
        <v>73</v>
      </c>
    </row>
    <row r="70" customFormat="false" ht="15" hidden="false" customHeight="false" outlineLevel="0" collapsed="false">
      <c r="A70" s="3" t="s">
        <v>74</v>
      </c>
      <c r="E70" s="3" t="n">
        <v>5</v>
      </c>
    </row>
    <row r="71" customFormat="false" ht="15" hidden="false" customHeight="false" outlineLevel="0" collapsed="false">
      <c r="A71" s="3" t="s">
        <v>75</v>
      </c>
      <c r="E71" s="3" t="n">
        <v>5</v>
      </c>
    </row>
    <row r="72" customFormat="false" ht="15" hidden="false" customHeight="false" outlineLevel="0" collapsed="false">
      <c r="A72" s="2" t="s">
        <v>76</v>
      </c>
    </row>
    <row r="73" customFormat="false" ht="15" hidden="false" customHeight="false" outlineLevel="0" collapsed="false">
      <c r="A73" s="3" t="s">
        <v>77</v>
      </c>
      <c r="E73" s="3" t="n">
        <v>1</v>
      </c>
    </row>
    <row r="74" customFormat="false" ht="15" hidden="false" customHeight="false" outlineLevel="0" collapsed="false">
      <c r="A74" s="3" t="s">
        <v>78</v>
      </c>
      <c r="E74" s="3" t="n">
        <v>1</v>
      </c>
    </row>
    <row r="75" customFormat="false" ht="15" hidden="false" customHeight="false" outlineLevel="0" collapsed="false">
      <c r="A75" s="3" t="s">
        <v>79</v>
      </c>
      <c r="E75" s="3" t="n">
        <v>1</v>
      </c>
    </row>
    <row r="76" customFormat="false" ht="15" hidden="false" customHeight="false" outlineLevel="0" collapsed="false">
      <c r="A76" s="3" t="s">
        <v>80</v>
      </c>
      <c r="E76" s="3" t="n">
        <v>1</v>
      </c>
    </row>
    <row r="77" customFormat="false" ht="15" hidden="false" customHeight="false" outlineLevel="0" collapsed="false">
      <c r="A77" s="3" t="s">
        <v>81</v>
      </c>
      <c r="E77" s="3" t="n">
        <v>1</v>
      </c>
    </row>
    <row r="78" customFormat="false" ht="15" hidden="false" customHeight="false" outlineLevel="0" collapsed="false">
      <c r="A78" s="2" t="s">
        <v>5</v>
      </c>
      <c r="B78" s="2" t="n">
        <f aca="false">SUM(B2:B77)</f>
        <v>51</v>
      </c>
      <c r="C78" s="2" t="n">
        <f aca="false">SUM(C2:C77)</f>
        <v>3</v>
      </c>
      <c r="D78" s="2" t="n">
        <f aca="false">SUM(D2:D77)</f>
        <v>8</v>
      </c>
      <c r="E78" s="2" t="n">
        <f aca="false">SUM(E2:E77)</f>
        <v>25</v>
      </c>
      <c r="F78" s="2" t="n">
        <f aca="false">SUM(B78:E78)</f>
        <v>87</v>
      </c>
    </row>
    <row r="80" customFormat="false" ht="15" hidden="false" customHeight="false" outlineLevel="0" collapsed="false">
      <c r="A80" s="4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3" t="s">
        <v>85</v>
      </c>
      <c r="B2" s="5" t="n">
        <v>3250</v>
      </c>
    </row>
    <row r="3" customFormat="false" ht="15" hidden="false" customHeight="false" outlineLevel="0" collapsed="false">
      <c r="A3" s="3" t="s">
        <v>86</v>
      </c>
      <c r="B3" s="5" t="n">
        <v>11500</v>
      </c>
    </row>
    <row r="4" customFormat="false" ht="15" hidden="false" customHeight="false" outlineLevel="0" collapsed="false">
      <c r="A4" s="3" t="s">
        <v>87</v>
      </c>
      <c r="B4" s="5" t="n">
        <v>4500</v>
      </c>
    </row>
    <row r="5" customFormat="false" ht="15" hidden="false" customHeight="false" outlineLevel="0" collapsed="false">
      <c r="A5" s="3" t="s">
        <v>88</v>
      </c>
      <c r="B5" s="5" t="n">
        <v>800</v>
      </c>
    </row>
    <row r="6" customFormat="false" ht="15" hidden="false" customHeight="false" outlineLevel="0" collapsed="false">
      <c r="A6" s="3" t="s">
        <v>89</v>
      </c>
      <c r="B6" s="5" t="n">
        <v>2000</v>
      </c>
    </row>
    <row r="7" customFormat="false" ht="15" hidden="false" customHeight="false" outlineLevel="0" collapsed="false">
      <c r="A7" s="3" t="s">
        <v>90</v>
      </c>
      <c r="B7" s="5" t="n">
        <v>700</v>
      </c>
    </row>
    <row r="8" customFormat="false" ht="15" hidden="false" customHeight="false" outlineLevel="0" collapsed="false">
      <c r="A8" s="3" t="s">
        <v>91</v>
      </c>
      <c r="B8" s="5" t="n">
        <v>3000</v>
      </c>
    </row>
    <row r="9" customFormat="false" ht="15" hidden="false" customHeight="false" outlineLevel="0" collapsed="false">
      <c r="A9" s="3" t="s">
        <v>92</v>
      </c>
      <c r="B9" s="5" t="n">
        <v>1600</v>
      </c>
    </row>
    <row r="10" customFormat="false" ht="15" hidden="false" customHeight="false" outlineLevel="0" collapsed="false">
      <c r="A10" s="3" t="s">
        <v>93</v>
      </c>
      <c r="B10" s="5" t="n">
        <v>3500</v>
      </c>
    </row>
    <row r="11" customFormat="false" ht="15" hidden="false" customHeight="false" outlineLevel="0" collapsed="false">
      <c r="A11" s="3" t="s">
        <v>94</v>
      </c>
      <c r="B11" s="5" t="n">
        <v>1500</v>
      </c>
    </row>
    <row r="12" customFormat="false" ht="15" hidden="false" customHeight="false" outlineLevel="0" collapsed="false">
      <c r="A12" s="3" t="s">
        <v>95</v>
      </c>
      <c r="B12" s="5" t="n">
        <v>600</v>
      </c>
    </row>
    <row r="13" customFormat="false" ht="15" hidden="false" customHeight="false" outlineLevel="0" collapsed="false">
      <c r="A13" s="3" t="s">
        <v>96</v>
      </c>
      <c r="B13" s="5" t="n">
        <v>700</v>
      </c>
    </row>
    <row r="14" customFormat="false" ht="15" hidden="false" customHeight="false" outlineLevel="0" collapsed="false">
      <c r="A14" s="3" t="s">
        <v>97</v>
      </c>
      <c r="B14" s="5" t="n">
        <v>600</v>
      </c>
    </row>
    <row r="15" customFormat="false" ht="15" hidden="false" customHeight="false" outlineLevel="0" collapsed="false">
      <c r="A15" s="3" t="s">
        <v>98</v>
      </c>
      <c r="B15" s="5" t="n">
        <v>2000</v>
      </c>
    </row>
    <row r="16" customFormat="false" ht="15" hidden="false" customHeight="false" outlineLevel="0" collapsed="false">
      <c r="A16" s="2" t="s">
        <v>5</v>
      </c>
      <c r="B16" s="6" t="n">
        <f aca="false">SUM(B2:B15)</f>
        <v>36250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4" min="3" style="0" width="12"/>
  </cols>
  <sheetData>
    <row r="1" customFormat="false" ht="15" hidden="false" customHeight="false" outlineLevel="0" collapsed="false">
      <c r="A1" s="2" t="s">
        <v>99</v>
      </c>
    </row>
    <row r="2" customFormat="false" ht="15" hidden="false" customHeight="false" outlineLevel="0" collapsed="false">
      <c r="A2" s="2" t="s">
        <v>100</v>
      </c>
      <c r="B2" s="2" t="s">
        <v>101</v>
      </c>
      <c r="C2" s="2" t="s">
        <v>102</v>
      </c>
      <c r="D2" s="2" t="s">
        <v>103</v>
      </c>
    </row>
    <row r="3" customFormat="false" ht="15" hidden="false" customHeight="false" outlineLevel="0" collapsed="false">
      <c r="A3" s="3" t="s">
        <v>104</v>
      </c>
      <c r="B3" s="3" t="s">
        <v>105</v>
      </c>
      <c r="C3" s="5" t="n">
        <v>100</v>
      </c>
      <c r="D3" s="5" t="n">
        <v>200</v>
      </c>
    </row>
    <row r="4" customFormat="false" ht="15" hidden="false" customHeight="false" outlineLevel="0" collapsed="false">
      <c r="A4" s="3" t="s">
        <v>106</v>
      </c>
      <c r="B4" s="3" t="s">
        <v>107</v>
      </c>
      <c r="C4" s="5" t="n">
        <v>100</v>
      </c>
      <c r="D4" s="5" t="n">
        <v>200</v>
      </c>
    </row>
    <row r="5" customFormat="false" ht="15" hidden="false" customHeight="false" outlineLevel="0" collapsed="false">
      <c r="A5" s="3" t="s">
        <v>108</v>
      </c>
      <c r="B5" s="3" t="s">
        <v>107</v>
      </c>
      <c r="C5" s="5" t="n">
        <v>100</v>
      </c>
      <c r="D5" s="5" t="n">
        <v>200</v>
      </c>
    </row>
    <row r="6" customFormat="false" ht="15" hidden="false" customHeight="false" outlineLevel="0" collapsed="false">
      <c r="A6" s="3" t="s">
        <v>109</v>
      </c>
      <c r="B6" s="3" t="s">
        <v>107</v>
      </c>
      <c r="C6" s="5" t="n">
        <v>100</v>
      </c>
      <c r="D6" s="5" t="n">
        <v>200</v>
      </c>
    </row>
    <row r="7" customFormat="false" ht="15" hidden="false" customHeight="false" outlineLevel="0" collapsed="false">
      <c r="A7" s="3" t="s">
        <v>110</v>
      </c>
      <c r="B7" s="3" t="s">
        <v>107</v>
      </c>
      <c r="C7" s="5" t="n">
        <v>100</v>
      </c>
      <c r="D7" s="5" t="n">
        <v>200</v>
      </c>
    </row>
    <row r="8" customFormat="false" ht="15" hidden="false" customHeight="false" outlineLevel="0" collapsed="false">
      <c r="A8" s="3" t="s">
        <v>111</v>
      </c>
      <c r="B8" s="3" t="s">
        <v>112</v>
      </c>
      <c r="C8" s="3" t="s">
        <v>113</v>
      </c>
      <c r="D8" s="5" t="n">
        <v>200</v>
      </c>
    </row>
    <row r="9" customFormat="false" ht="15" hidden="false" customHeight="false" outlineLevel="0" collapsed="false">
      <c r="A9" s="3" t="s">
        <v>114</v>
      </c>
      <c r="B9" s="3" t="s">
        <v>112</v>
      </c>
      <c r="C9" s="3" t="s">
        <v>113</v>
      </c>
      <c r="D9" s="5" t="n">
        <v>100</v>
      </c>
    </row>
    <row r="10" customFormat="false" ht="15" hidden="false" customHeight="false" outlineLevel="0" collapsed="false">
      <c r="A10" s="3" t="s">
        <v>115</v>
      </c>
      <c r="B10" s="3" t="s">
        <v>112</v>
      </c>
      <c r="C10" s="3" t="s">
        <v>113</v>
      </c>
      <c r="D10" s="5" t="n">
        <v>100</v>
      </c>
    </row>
    <row r="11" customFormat="false" ht="15" hidden="false" customHeight="false" outlineLevel="0" collapsed="false">
      <c r="A11" s="2" t="s">
        <v>116</v>
      </c>
      <c r="D11" s="6" t="n">
        <f aca="false">SUM(D3:D10)</f>
        <v>1400</v>
      </c>
    </row>
    <row r="13" customFormat="false" ht="15" hidden="false" customHeight="false" outlineLevel="0" collapsed="false">
      <c r="A13" s="2" t="s">
        <v>117</v>
      </c>
    </row>
    <row r="14" customFormat="false" ht="15" hidden="false" customHeight="false" outlineLevel="0" collapsed="false">
      <c r="A14" s="2" t="s">
        <v>100</v>
      </c>
      <c r="B14" s="2" t="s">
        <v>101</v>
      </c>
      <c r="C14" s="2" t="s">
        <v>102</v>
      </c>
      <c r="D14" s="2" t="s">
        <v>103</v>
      </c>
    </row>
    <row r="15" customFormat="false" ht="15" hidden="false" customHeight="false" outlineLevel="0" collapsed="false">
      <c r="A15" s="3" t="s">
        <v>118</v>
      </c>
      <c r="B15" s="3" t="s">
        <v>119</v>
      </c>
      <c r="C15" s="5" t="n">
        <v>250</v>
      </c>
      <c r="D15" s="5" t="n">
        <v>750</v>
      </c>
    </row>
    <row r="16" customFormat="false" ht="15" hidden="false" customHeight="false" outlineLevel="0" collapsed="false">
      <c r="A16" s="3" t="s">
        <v>120</v>
      </c>
      <c r="B16" s="3" t="s">
        <v>107</v>
      </c>
      <c r="C16" s="5" t="n">
        <v>250</v>
      </c>
      <c r="D16" s="5" t="n">
        <v>500</v>
      </c>
    </row>
    <row r="17" customFormat="false" ht="15" hidden="false" customHeight="false" outlineLevel="0" collapsed="false">
      <c r="A17" s="3" t="s">
        <v>121</v>
      </c>
      <c r="B17" s="3" t="s">
        <v>122</v>
      </c>
      <c r="C17" s="5" t="n">
        <v>150</v>
      </c>
      <c r="D17" s="5" t="n">
        <v>600</v>
      </c>
    </row>
    <row r="18" customFormat="false" ht="15" hidden="false" customHeight="false" outlineLevel="0" collapsed="false">
      <c r="A18" s="3" t="s">
        <v>123</v>
      </c>
      <c r="B18" s="3" t="s">
        <v>107</v>
      </c>
      <c r="C18" s="5" t="n">
        <v>150</v>
      </c>
      <c r="D18" s="5" t="n">
        <v>300</v>
      </c>
    </row>
    <row r="19" customFormat="false" ht="15" hidden="false" customHeight="false" outlineLevel="0" collapsed="false">
      <c r="A19" s="3" t="s">
        <v>124</v>
      </c>
      <c r="B19" s="3" t="s">
        <v>107</v>
      </c>
      <c r="C19" s="5" t="n">
        <v>150</v>
      </c>
      <c r="D19" s="5" t="n">
        <v>300</v>
      </c>
    </row>
    <row r="20" customFormat="false" ht="15" hidden="false" customHeight="false" outlineLevel="0" collapsed="false">
      <c r="A20" s="3" t="s">
        <v>125</v>
      </c>
      <c r="B20" s="3" t="s">
        <v>107</v>
      </c>
      <c r="C20" s="5" t="n">
        <v>150</v>
      </c>
      <c r="D20" s="5" t="n">
        <v>300</v>
      </c>
    </row>
    <row r="21" customFormat="false" ht="15" hidden="false" customHeight="false" outlineLevel="0" collapsed="false">
      <c r="A21" s="3" t="s">
        <v>126</v>
      </c>
      <c r="B21" s="3" t="s">
        <v>122</v>
      </c>
      <c r="C21" s="5" t="n">
        <v>50</v>
      </c>
      <c r="D21" s="5" t="n">
        <v>200</v>
      </c>
    </row>
    <row r="22" customFormat="false" ht="15" hidden="false" customHeight="false" outlineLevel="0" collapsed="false">
      <c r="A22" s="3" t="s">
        <v>127</v>
      </c>
      <c r="B22" s="3" t="s">
        <v>128</v>
      </c>
      <c r="C22" s="5" t="n">
        <v>50</v>
      </c>
      <c r="D22" s="5" t="n">
        <v>50</v>
      </c>
    </row>
    <row r="23" customFormat="false" ht="15" hidden="false" customHeight="false" outlineLevel="0" collapsed="false">
      <c r="A23" s="3" t="s">
        <v>129</v>
      </c>
      <c r="B23" s="3" t="s">
        <v>107</v>
      </c>
      <c r="C23" s="5" t="n">
        <v>50</v>
      </c>
      <c r="D23" s="5" t="n">
        <v>100</v>
      </c>
    </row>
    <row r="24" customFormat="false" ht="15" hidden="false" customHeight="false" outlineLevel="0" collapsed="false">
      <c r="A24" s="3" t="s">
        <v>130</v>
      </c>
      <c r="B24" s="3" t="s">
        <v>107</v>
      </c>
      <c r="C24" s="5" t="n">
        <v>100</v>
      </c>
      <c r="D24" s="5" t="n">
        <v>200</v>
      </c>
    </row>
    <row r="25" customFormat="false" ht="15" hidden="false" customHeight="false" outlineLevel="0" collapsed="false">
      <c r="A25" s="2" t="s">
        <v>131</v>
      </c>
      <c r="D25" s="6" t="n">
        <f aca="false">SUM(D15:D24)</f>
        <v>3300</v>
      </c>
    </row>
    <row r="27" customFormat="false" ht="15" hidden="false" customHeight="false" outlineLevel="0" collapsed="false">
      <c r="A27" s="2" t="s">
        <v>132</v>
      </c>
    </row>
    <row r="28" customFormat="false" ht="15" hidden="false" customHeight="false" outlineLevel="0" collapsed="false">
      <c r="A28" s="2" t="s">
        <v>100</v>
      </c>
      <c r="B28" s="2" t="s">
        <v>101</v>
      </c>
      <c r="C28" s="2" t="s">
        <v>102</v>
      </c>
      <c r="D28" s="2" t="s">
        <v>103</v>
      </c>
    </row>
    <row r="29" customFormat="false" ht="15" hidden="false" customHeight="false" outlineLevel="0" collapsed="false">
      <c r="A29" s="3" t="s">
        <v>133</v>
      </c>
      <c r="B29" s="3" t="s">
        <v>107</v>
      </c>
      <c r="C29" s="5" t="n">
        <v>100</v>
      </c>
      <c r="D29" s="5" t="n">
        <v>200</v>
      </c>
    </row>
    <row r="30" customFormat="false" ht="15" hidden="false" customHeight="false" outlineLevel="0" collapsed="false">
      <c r="A30" s="3" t="s">
        <v>134</v>
      </c>
      <c r="B30" s="3" t="s">
        <v>135</v>
      </c>
      <c r="C30" s="5" t="n">
        <v>100</v>
      </c>
      <c r="D30" s="5" t="n">
        <v>100</v>
      </c>
    </row>
    <row r="31" customFormat="false" ht="15" hidden="false" customHeight="false" outlineLevel="0" collapsed="false">
      <c r="A31" s="3" t="s">
        <v>136</v>
      </c>
      <c r="B31" s="3" t="s">
        <v>135</v>
      </c>
      <c r="C31" s="5" t="n">
        <v>100</v>
      </c>
      <c r="D31" s="5" t="n">
        <v>100</v>
      </c>
    </row>
    <row r="32" customFormat="false" ht="15" hidden="false" customHeight="false" outlineLevel="0" collapsed="false">
      <c r="A32" s="2" t="s">
        <v>137</v>
      </c>
      <c r="D32" s="6" t="n">
        <f aca="false">SUM(D29:D31)</f>
        <v>400</v>
      </c>
    </row>
    <row r="34" customFormat="false" ht="15" hidden="false" customHeight="false" outlineLevel="0" collapsed="false">
      <c r="A34" s="2" t="s">
        <v>138</v>
      </c>
    </row>
    <row r="35" customFormat="false" ht="15" hidden="false" customHeight="false" outlineLevel="0" collapsed="false">
      <c r="A35" s="2" t="s">
        <v>139</v>
      </c>
      <c r="B35" s="2" t="s">
        <v>140</v>
      </c>
    </row>
    <row r="36" customFormat="false" ht="15" hidden="false" customHeight="false" outlineLevel="0" collapsed="false">
      <c r="A36" s="3" t="s">
        <v>141</v>
      </c>
      <c r="B36" s="5" t="n">
        <f aca="false">D11</f>
        <v>1400</v>
      </c>
    </row>
    <row r="37" customFormat="false" ht="15" hidden="false" customHeight="false" outlineLevel="0" collapsed="false">
      <c r="A37" s="3" t="s">
        <v>142</v>
      </c>
      <c r="B37" s="5" t="n">
        <f aca="false">D25</f>
        <v>3300</v>
      </c>
    </row>
    <row r="38" customFormat="false" ht="15" hidden="false" customHeight="false" outlineLevel="0" collapsed="false">
      <c r="A38" s="3" t="s">
        <v>143</v>
      </c>
      <c r="B38" s="5" t="n">
        <f aca="false">D32</f>
        <v>400</v>
      </c>
    </row>
    <row r="39" customFormat="false" ht="15" hidden="false" customHeight="false" outlineLevel="0" collapsed="false">
      <c r="A39" s="2" t="s">
        <v>144</v>
      </c>
      <c r="B39" s="6" t="n">
        <f aca="false">SUM(B36:B38)</f>
        <v>5100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</row>
    <row r="4" customFormat="false" ht="15" hidden="false" customHeight="false" outlineLevel="0" collapsed="false">
      <c r="A4" s="2" t="s">
        <v>100</v>
      </c>
      <c r="B4" s="2" t="s">
        <v>147</v>
      </c>
    </row>
    <row r="5" customFormat="false" ht="15" hidden="false" customHeight="false" outlineLevel="0" collapsed="false">
      <c r="A5" s="3" t="s">
        <v>148</v>
      </c>
      <c r="B5" s="3" t="s">
        <v>149</v>
      </c>
    </row>
    <row r="6" customFormat="false" ht="15" hidden="false" customHeight="false" outlineLevel="0" collapsed="false">
      <c r="A6" s="3" t="s">
        <v>150</v>
      </c>
      <c r="B6" s="3" t="s">
        <v>149</v>
      </c>
    </row>
    <row r="7" customFormat="false" ht="15" hidden="false" customHeight="false" outlineLevel="0" collapsed="false">
      <c r="A7" s="3" t="s">
        <v>151</v>
      </c>
      <c r="B7" s="3" t="s">
        <v>152</v>
      </c>
    </row>
    <row r="8" customFormat="false" ht="15" hidden="false" customHeight="false" outlineLevel="0" collapsed="false">
      <c r="A8" s="3" t="s">
        <v>153</v>
      </c>
      <c r="B8" s="3" t="s">
        <v>152</v>
      </c>
    </row>
    <row r="9" customFormat="false" ht="15" hidden="false" customHeight="false" outlineLevel="0" collapsed="false">
      <c r="A9" s="3" t="s">
        <v>154</v>
      </c>
      <c r="B9" s="3" t="s">
        <v>155</v>
      </c>
    </row>
    <row r="10" customFormat="false" ht="15" hidden="false" customHeight="false" outlineLevel="0" collapsed="false">
      <c r="A10" s="3" t="s">
        <v>156</v>
      </c>
      <c r="B10" s="3" t="s">
        <v>155</v>
      </c>
    </row>
    <row r="11" customFormat="false" ht="15" hidden="false" customHeight="false" outlineLevel="0" collapsed="false">
      <c r="A11" s="3" t="s">
        <v>157</v>
      </c>
      <c r="B11" s="3" t="s">
        <v>155</v>
      </c>
    </row>
    <row r="12" customFormat="false" ht="15" hidden="false" customHeight="false" outlineLevel="0" collapsed="false">
      <c r="A12" s="3" t="s">
        <v>158</v>
      </c>
      <c r="B12" s="3" t="s">
        <v>149</v>
      </c>
    </row>
    <row r="13" customFormat="false" ht="15" hidden="false" customHeight="false" outlineLevel="0" collapsed="false">
      <c r="A13" s="3" t="s">
        <v>159</v>
      </c>
      <c r="B13" s="3" t="s">
        <v>155</v>
      </c>
    </row>
    <row r="14" customFormat="false" ht="15" hidden="false" customHeight="false" outlineLevel="0" collapsed="false">
      <c r="A14" s="3" t="s">
        <v>160</v>
      </c>
      <c r="B14" s="3" t="s">
        <v>149</v>
      </c>
    </row>
    <row r="15" customFormat="false" ht="15" hidden="false" customHeight="false" outlineLevel="0" collapsed="false">
      <c r="A15" s="4" t="s">
        <v>161</v>
      </c>
    </row>
    <row r="17" customFormat="false" ht="15" hidden="false" customHeight="false" outlineLevel="0" collapsed="false">
      <c r="A17" s="2" t="s">
        <v>162</v>
      </c>
    </row>
    <row r="18" customFormat="false" ht="15" hidden="false" customHeight="false" outlineLevel="0" collapsed="false">
      <c r="A18" s="3" t="s">
        <v>163</v>
      </c>
      <c r="B18" s="7" t="n">
        <v>115</v>
      </c>
    </row>
    <row r="19" customFormat="false" ht="15" hidden="false" customHeight="false" outlineLevel="0" collapsed="false">
      <c r="A19" s="3" t="s">
        <v>164</v>
      </c>
      <c r="B19" s="3" t="n">
        <f aca="false">'Guest List'!F78</f>
        <v>87</v>
      </c>
    </row>
    <row r="20" customFormat="false" ht="15" hidden="false" customHeight="false" outlineLevel="0" collapsed="false">
      <c r="A20" s="2" t="s">
        <v>144</v>
      </c>
      <c r="B20" s="6" t="n">
        <f aca="false">B18*B19</f>
        <v>10005</v>
      </c>
    </row>
    <row r="21" customFormat="false" ht="15" hidden="false" customHeight="false" outlineLevel="0" collapsed="false">
      <c r="A21" s="3" t="s">
        <v>165</v>
      </c>
      <c r="B21" s="5" t="n">
        <f aca="false">Budget!B3</f>
        <v>11500</v>
      </c>
    </row>
    <row r="22" customFormat="false" ht="15" hidden="false" customHeight="false" outlineLevel="0" collapsed="false">
      <c r="A22" s="3" t="s">
        <v>166</v>
      </c>
      <c r="B22" s="8" t="n">
        <f aca="false">Budget!B3-B20</f>
        <v>1495</v>
      </c>
    </row>
    <row r="24" customFormat="false" ht="15" hidden="false" customHeight="false" outlineLevel="0" collapsed="false">
      <c r="A24" s="2" t="s">
        <v>167</v>
      </c>
    </row>
    <row r="25" customFormat="false" ht="15" hidden="false" customHeight="false" outlineLevel="0" collapsed="false">
      <c r="A25" s="2" t="s">
        <v>168</v>
      </c>
      <c r="B25" s="2" t="s">
        <v>103</v>
      </c>
    </row>
    <row r="26" customFormat="false" ht="15" hidden="false" customHeight="false" outlineLevel="0" collapsed="false">
      <c r="A26" s="3" t="n">
        <v>80</v>
      </c>
      <c r="B26" s="5" t="n">
        <f aca="false">B18*A26</f>
        <v>9200</v>
      </c>
    </row>
    <row r="27" customFormat="false" ht="15" hidden="false" customHeight="false" outlineLevel="0" collapsed="false">
      <c r="A27" s="3" t="n">
        <v>90</v>
      </c>
      <c r="B27" s="5" t="n">
        <f aca="false">B18*A27</f>
        <v>10350</v>
      </c>
    </row>
    <row r="28" customFormat="false" ht="15" hidden="false" customHeight="false" outlineLevel="0" collapsed="false">
      <c r="A28" s="3" t="n">
        <v>100</v>
      </c>
      <c r="B28" s="5" t="n">
        <f aca="false">B18*A28</f>
        <v>11500</v>
      </c>
    </row>
    <row r="29" customFormat="false" ht="15" hidden="false" customHeight="false" outlineLevel="0" collapsed="false">
      <c r="A29" s="3" t="n">
        <v>110</v>
      </c>
      <c r="B29" s="5" t="n">
        <f aca="false">B18*A29</f>
        <v>12650</v>
      </c>
    </row>
    <row r="31" customFormat="false" ht="15" hidden="false" customHeight="false" outlineLevel="0" collapsed="false">
      <c r="A31" s="4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8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2" t="s">
        <v>170</v>
      </c>
      <c r="B1" s="2" t="s">
        <v>171</v>
      </c>
      <c r="C1" s="2" t="s">
        <v>172</v>
      </c>
    </row>
    <row r="2" customFormat="false" ht="15" hidden="false" customHeight="false" outlineLevel="0" collapsed="false">
      <c r="A2" s="2" t="s">
        <v>6</v>
      </c>
    </row>
    <row r="3" customFormat="false" ht="15" hidden="false" customHeight="false" outlineLevel="0" collapsed="false">
      <c r="A3" s="3" t="s">
        <v>8</v>
      </c>
      <c r="B3" s="3" t="n">
        <v>1</v>
      </c>
      <c r="C3" s="3" t="s">
        <v>173</v>
      </c>
    </row>
    <row r="4" customFormat="false" ht="15" hidden="false" customHeight="false" outlineLevel="0" collapsed="false">
      <c r="A4" s="3" t="s">
        <v>9</v>
      </c>
      <c r="B4" s="3" t="n">
        <v>1</v>
      </c>
      <c r="C4" s="3" t="s">
        <v>174</v>
      </c>
    </row>
    <row r="5" customFormat="false" ht="15" hidden="false" customHeight="false" outlineLevel="0" collapsed="false">
      <c r="A5" s="3" t="s">
        <v>10</v>
      </c>
      <c r="B5" s="3" t="n">
        <v>1</v>
      </c>
      <c r="C5" s="3" t="s">
        <v>175</v>
      </c>
    </row>
    <row r="6" customFormat="false" ht="15" hidden="false" customHeight="false" outlineLevel="0" collapsed="false">
      <c r="A6" s="3" t="s">
        <v>11</v>
      </c>
      <c r="B6" s="3" t="n">
        <v>1</v>
      </c>
      <c r="C6" s="3" t="s">
        <v>176</v>
      </c>
    </row>
    <row r="7" customFormat="false" ht="15" hidden="false" customHeight="false" outlineLevel="0" collapsed="false">
      <c r="A7" s="3" t="s">
        <v>12</v>
      </c>
      <c r="B7" s="3" t="n">
        <v>1</v>
      </c>
      <c r="C7" s="3" t="s">
        <v>177</v>
      </c>
    </row>
    <row r="8" customFormat="false" ht="15" hidden="false" customHeight="false" outlineLevel="0" collapsed="false">
      <c r="A8" s="3" t="s">
        <v>13</v>
      </c>
      <c r="B8" s="3" t="n">
        <v>1</v>
      </c>
      <c r="C8" s="3" t="s">
        <v>178</v>
      </c>
    </row>
    <row r="9" customFormat="false" ht="15" hidden="false" customHeight="false" outlineLevel="0" collapsed="false">
      <c r="A9" s="3" t="s">
        <v>14</v>
      </c>
      <c r="B9" s="3" t="n">
        <v>1</v>
      </c>
      <c r="C9" s="3" t="s">
        <v>179</v>
      </c>
    </row>
    <row r="10" customFormat="false" ht="15" hidden="false" customHeight="false" outlineLevel="0" collapsed="false">
      <c r="A10" s="3" t="s">
        <v>15</v>
      </c>
      <c r="B10" s="3" t="n">
        <v>1</v>
      </c>
      <c r="C10" s="3" t="s">
        <v>180</v>
      </c>
    </row>
    <row r="11" customFormat="false" ht="15" hidden="false" customHeight="false" outlineLevel="0" collapsed="false">
      <c r="A11" s="3" t="s">
        <v>16</v>
      </c>
      <c r="B11" s="3" t="n">
        <v>1</v>
      </c>
      <c r="C11" s="3" t="s">
        <v>181</v>
      </c>
    </row>
    <row r="12" customFormat="false" ht="15" hidden="false" customHeight="false" outlineLevel="0" collapsed="false">
      <c r="A12" s="3" t="s">
        <v>17</v>
      </c>
      <c r="B12" s="3" t="n">
        <v>1</v>
      </c>
      <c r="C12" s="3" t="s">
        <v>182</v>
      </c>
    </row>
    <row r="13" customFormat="false" ht="15" hidden="false" customHeight="false" outlineLevel="0" collapsed="false">
      <c r="A13" s="3" t="s">
        <v>18</v>
      </c>
      <c r="B13" s="3" t="n">
        <v>1</v>
      </c>
      <c r="C13" s="3" t="s">
        <v>183</v>
      </c>
    </row>
    <row r="14" customFormat="false" ht="15" hidden="false" customHeight="false" outlineLevel="0" collapsed="false">
      <c r="A14" s="2" t="s">
        <v>19</v>
      </c>
    </row>
    <row r="15" customFormat="false" ht="15" hidden="false" customHeight="false" outlineLevel="0" collapsed="false">
      <c r="A15" s="3" t="s">
        <v>20</v>
      </c>
      <c r="B15" s="3" t="n">
        <v>1</v>
      </c>
      <c r="C15" s="3" t="s">
        <v>184</v>
      </c>
    </row>
    <row r="16" customFormat="false" ht="15" hidden="false" customHeight="false" outlineLevel="0" collapsed="false">
      <c r="A16" s="3" t="s">
        <v>21</v>
      </c>
      <c r="B16" s="3" t="n">
        <v>1</v>
      </c>
      <c r="C16" s="3" t="s">
        <v>185</v>
      </c>
    </row>
    <row r="17" customFormat="false" ht="15" hidden="false" customHeight="false" outlineLevel="0" collapsed="false">
      <c r="A17" s="3" t="s">
        <v>22</v>
      </c>
      <c r="B17" s="3" t="n">
        <v>1</v>
      </c>
      <c r="C17" s="3" t="s">
        <v>186</v>
      </c>
    </row>
    <row r="18" customFormat="false" ht="15" hidden="false" customHeight="false" outlineLevel="0" collapsed="false">
      <c r="A18" s="3" t="s">
        <v>23</v>
      </c>
      <c r="B18" s="3" t="n">
        <v>1</v>
      </c>
      <c r="C18" s="3" t="s">
        <v>187</v>
      </c>
    </row>
    <row r="19" customFormat="false" ht="15" hidden="false" customHeight="false" outlineLevel="0" collapsed="false">
      <c r="A19" s="3" t="s">
        <v>24</v>
      </c>
      <c r="B19" s="3" t="n">
        <v>1</v>
      </c>
      <c r="C19" s="3" t="s">
        <v>188</v>
      </c>
    </row>
    <row r="20" customFormat="false" ht="15" hidden="false" customHeight="false" outlineLevel="0" collapsed="false">
      <c r="A20" s="3" t="s">
        <v>25</v>
      </c>
      <c r="B20" s="3" t="n">
        <v>1</v>
      </c>
      <c r="C20" s="3" t="s">
        <v>189</v>
      </c>
    </row>
    <row r="21" customFormat="false" ht="15" hidden="false" customHeight="false" outlineLevel="0" collapsed="false">
      <c r="A21" s="3" t="s">
        <v>26</v>
      </c>
      <c r="B21" s="3" t="n">
        <v>1</v>
      </c>
      <c r="C21" s="3" t="s">
        <v>190</v>
      </c>
    </row>
    <row r="22" customFormat="false" ht="15" hidden="false" customHeight="false" outlineLevel="0" collapsed="false">
      <c r="A22" s="3" t="s">
        <v>27</v>
      </c>
      <c r="B22" s="3" t="n">
        <v>1</v>
      </c>
      <c r="C22" s="3" t="s">
        <v>191</v>
      </c>
    </row>
    <row r="23" customFormat="false" ht="15" hidden="false" customHeight="false" outlineLevel="0" collapsed="false">
      <c r="A23" s="2" t="s">
        <v>28</v>
      </c>
    </row>
    <row r="24" customFormat="false" ht="15" hidden="false" customHeight="false" outlineLevel="0" collapsed="false">
      <c r="A24" s="3" t="s">
        <v>29</v>
      </c>
      <c r="B24" s="3" t="n">
        <v>1</v>
      </c>
      <c r="C24" s="3" t="s">
        <v>192</v>
      </c>
    </row>
    <row r="25" customFormat="false" ht="15" hidden="false" customHeight="false" outlineLevel="0" collapsed="false">
      <c r="A25" s="3" t="s">
        <v>30</v>
      </c>
      <c r="B25" s="3" t="n">
        <v>1</v>
      </c>
      <c r="C25" s="3" t="s">
        <v>193</v>
      </c>
    </row>
    <row r="26" customFormat="false" ht="15" hidden="false" customHeight="false" outlineLevel="0" collapsed="false">
      <c r="A26" s="3" t="s">
        <v>31</v>
      </c>
      <c r="B26" s="3" t="n">
        <v>1</v>
      </c>
      <c r="C26" s="3" t="s">
        <v>194</v>
      </c>
    </row>
    <row r="27" customFormat="false" ht="15" hidden="false" customHeight="false" outlineLevel="0" collapsed="false">
      <c r="A27" s="3" t="s">
        <v>32</v>
      </c>
      <c r="B27" s="3" t="n">
        <v>1</v>
      </c>
      <c r="C27" s="3" t="s">
        <v>195</v>
      </c>
    </row>
    <row r="28" customFormat="false" ht="15" hidden="false" customHeight="false" outlineLevel="0" collapsed="false">
      <c r="A28" s="3" t="s">
        <v>33</v>
      </c>
      <c r="B28" s="3" t="n">
        <v>1</v>
      </c>
      <c r="C28" s="3" t="s">
        <v>196</v>
      </c>
    </row>
    <row r="29" customFormat="false" ht="15" hidden="false" customHeight="false" outlineLevel="0" collapsed="false">
      <c r="A29" s="3" t="s">
        <v>34</v>
      </c>
      <c r="B29" s="3" t="n">
        <v>1</v>
      </c>
      <c r="C29" s="3" t="s">
        <v>197</v>
      </c>
    </row>
    <row r="30" customFormat="false" ht="15" hidden="false" customHeight="false" outlineLevel="0" collapsed="false">
      <c r="A30" s="3" t="s">
        <v>35</v>
      </c>
      <c r="B30" s="3" t="n">
        <v>1</v>
      </c>
      <c r="C30" s="3" t="s">
        <v>198</v>
      </c>
    </row>
    <row r="31" customFormat="false" ht="15" hidden="false" customHeight="false" outlineLevel="0" collapsed="false">
      <c r="A31" s="3" t="s">
        <v>36</v>
      </c>
      <c r="B31" s="3" t="n">
        <v>1</v>
      </c>
      <c r="C31" s="3" t="s">
        <v>199</v>
      </c>
    </row>
    <row r="32" customFormat="false" ht="15" hidden="false" customHeight="false" outlineLevel="0" collapsed="false">
      <c r="A32" s="2" t="s">
        <v>37</v>
      </c>
    </row>
    <row r="33" customFormat="false" ht="15" hidden="false" customHeight="false" outlineLevel="0" collapsed="false">
      <c r="A33" s="3" t="s">
        <v>38</v>
      </c>
      <c r="B33" s="3" t="n">
        <v>1</v>
      </c>
      <c r="C33" s="3" t="s">
        <v>200</v>
      </c>
    </row>
    <row r="34" customFormat="false" ht="15" hidden="false" customHeight="false" outlineLevel="0" collapsed="false">
      <c r="A34" s="3" t="s">
        <v>39</v>
      </c>
      <c r="B34" s="3" t="n">
        <v>1</v>
      </c>
      <c r="C34" s="3" t="s">
        <v>201</v>
      </c>
    </row>
    <row r="35" customFormat="false" ht="15" hidden="false" customHeight="false" outlineLevel="0" collapsed="false">
      <c r="A35" s="2" t="s">
        <v>40</v>
      </c>
    </row>
    <row r="36" customFormat="false" ht="15" hidden="false" customHeight="false" outlineLevel="0" collapsed="false">
      <c r="A36" s="3" t="s">
        <v>41</v>
      </c>
      <c r="B36" s="3" t="n">
        <v>1</v>
      </c>
      <c r="C36" s="3" t="s">
        <v>202</v>
      </c>
    </row>
    <row r="37" customFormat="false" ht="15" hidden="false" customHeight="false" outlineLevel="0" collapsed="false">
      <c r="A37" s="3" t="s">
        <v>42</v>
      </c>
      <c r="B37" s="3" t="n">
        <v>1</v>
      </c>
      <c r="C37" s="3" t="s">
        <v>203</v>
      </c>
    </row>
    <row r="38" customFormat="false" ht="15" hidden="false" customHeight="false" outlineLevel="0" collapsed="false">
      <c r="A38" s="2" t="s">
        <v>43</v>
      </c>
    </row>
    <row r="39" customFormat="false" ht="15" hidden="false" customHeight="false" outlineLevel="0" collapsed="false">
      <c r="A39" s="3" t="s">
        <v>44</v>
      </c>
      <c r="B39" s="3" t="n">
        <v>1</v>
      </c>
      <c r="C39" s="3" t="s">
        <v>204</v>
      </c>
    </row>
    <row r="40" customFormat="false" ht="15" hidden="false" customHeight="false" outlineLevel="0" collapsed="false">
      <c r="A40" s="3" t="s">
        <v>45</v>
      </c>
      <c r="B40" s="3" t="n">
        <v>1</v>
      </c>
      <c r="C40" s="3" t="s">
        <v>205</v>
      </c>
    </row>
    <row r="41" customFormat="false" ht="15" hidden="false" customHeight="false" outlineLevel="0" collapsed="false">
      <c r="A41" s="3" t="s">
        <v>46</v>
      </c>
      <c r="B41" s="3" t="n">
        <v>1</v>
      </c>
      <c r="C41" s="3" t="s">
        <v>206</v>
      </c>
    </row>
    <row r="42" customFormat="false" ht="15" hidden="false" customHeight="false" outlineLevel="0" collapsed="false">
      <c r="A42" s="3" t="s">
        <v>47</v>
      </c>
      <c r="B42" s="3" t="n">
        <v>1</v>
      </c>
      <c r="C42" s="3" t="s">
        <v>207</v>
      </c>
    </row>
    <row r="43" customFormat="false" ht="15" hidden="false" customHeight="false" outlineLevel="0" collapsed="false">
      <c r="A43" s="3" t="s">
        <v>48</v>
      </c>
      <c r="B43" s="3" t="n">
        <v>1</v>
      </c>
      <c r="C43" s="3" t="s">
        <v>208</v>
      </c>
    </row>
    <row r="44" customFormat="false" ht="15" hidden="false" customHeight="false" outlineLevel="0" collapsed="false">
      <c r="A44" s="2" t="s">
        <v>49</v>
      </c>
    </row>
    <row r="45" customFormat="false" ht="15" hidden="false" customHeight="false" outlineLevel="0" collapsed="false">
      <c r="A45" s="3" t="s">
        <v>50</v>
      </c>
      <c r="B45" s="3" t="n">
        <v>1</v>
      </c>
      <c r="C45" s="3" t="s">
        <v>209</v>
      </c>
    </row>
    <row r="46" customFormat="false" ht="15" hidden="false" customHeight="false" outlineLevel="0" collapsed="false">
      <c r="A46" s="3" t="s">
        <v>51</v>
      </c>
      <c r="B46" s="3" t="n">
        <v>1</v>
      </c>
      <c r="C46" s="3" t="s">
        <v>210</v>
      </c>
    </row>
    <row r="47" customFormat="false" ht="15" hidden="false" customHeight="false" outlineLevel="0" collapsed="false">
      <c r="A47" s="3" t="s">
        <v>52</v>
      </c>
      <c r="B47" s="3" t="n">
        <v>1</v>
      </c>
      <c r="C47" s="3" t="s">
        <v>211</v>
      </c>
    </row>
    <row r="48" customFormat="false" ht="15" hidden="false" customHeight="false" outlineLevel="0" collapsed="false">
      <c r="A48" s="2" t="s">
        <v>53</v>
      </c>
    </row>
    <row r="49" customFormat="false" ht="15" hidden="false" customHeight="false" outlineLevel="0" collapsed="false">
      <c r="A49" s="3" t="s">
        <v>54</v>
      </c>
      <c r="B49" s="3" t="n">
        <v>3</v>
      </c>
      <c r="C49" s="3" t="s">
        <v>212</v>
      </c>
    </row>
    <row r="50" customFormat="false" ht="15" hidden="false" customHeight="false" outlineLevel="0" collapsed="false">
      <c r="A50" s="3" t="s">
        <v>55</v>
      </c>
      <c r="B50" s="3" t="n">
        <v>4</v>
      </c>
      <c r="C50" s="3" t="s">
        <v>213</v>
      </c>
    </row>
    <row r="51" customFormat="false" ht="15" hidden="false" customHeight="false" outlineLevel="0" collapsed="false">
      <c r="A51" s="3" t="s">
        <v>56</v>
      </c>
      <c r="B51" s="3" t="n">
        <v>3</v>
      </c>
      <c r="C51" s="3" t="s">
        <v>214</v>
      </c>
    </row>
    <row r="52" customFormat="false" ht="15" hidden="false" customHeight="false" outlineLevel="0" collapsed="false">
      <c r="A52" s="3" t="s">
        <v>57</v>
      </c>
      <c r="B52" s="3" t="n">
        <v>4</v>
      </c>
      <c r="C52" s="3" t="s">
        <v>215</v>
      </c>
    </row>
    <row r="53" customFormat="false" ht="15" hidden="false" customHeight="false" outlineLevel="0" collapsed="false">
      <c r="A53" s="3" t="s">
        <v>58</v>
      </c>
      <c r="B53" s="3" t="n">
        <v>1</v>
      </c>
      <c r="C53" s="3" t="s">
        <v>216</v>
      </c>
    </row>
    <row r="54" customFormat="false" ht="15" hidden="false" customHeight="false" outlineLevel="0" collapsed="false">
      <c r="A54" s="3" t="s">
        <v>59</v>
      </c>
      <c r="B54" s="3" t="n">
        <v>2</v>
      </c>
      <c r="C54" s="3" t="s">
        <v>217</v>
      </c>
    </row>
    <row r="55" customFormat="false" ht="15" hidden="false" customHeight="false" outlineLevel="0" collapsed="false">
      <c r="A55" s="3" t="s">
        <v>60</v>
      </c>
      <c r="B55" s="3" t="n">
        <v>3</v>
      </c>
      <c r="C55" s="3" t="s">
        <v>218</v>
      </c>
    </row>
    <row r="56" customFormat="false" ht="15" hidden="false" customHeight="false" outlineLevel="0" collapsed="false">
      <c r="A56" s="3" t="s">
        <v>61</v>
      </c>
      <c r="B56" s="3" t="n">
        <v>2</v>
      </c>
      <c r="C56" s="3" t="s">
        <v>219</v>
      </c>
    </row>
    <row r="57" customFormat="false" ht="15" hidden="false" customHeight="false" outlineLevel="0" collapsed="false">
      <c r="A57" s="2" t="s">
        <v>62</v>
      </c>
    </row>
    <row r="58" customFormat="false" ht="15" hidden="false" customHeight="false" outlineLevel="0" collapsed="false">
      <c r="A58" s="3" t="s">
        <v>64</v>
      </c>
      <c r="B58" s="3" t="n">
        <v>1</v>
      </c>
      <c r="C58" s="3" t="s">
        <v>220</v>
      </c>
    </row>
    <row r="59" customFormat="false" ht="15" hidden="false" customHeight="false" outlineLevel="0" collapsed="false">
      <c r="A59" s="3" t="s">
        <v>65</v>
      </c>
      <c r="B59" s="3" t="n">
        <v>1</v>
      </c>
      <c r="C59" s="3" t="s">
        <v>221</v>
      </c>
    </row>
    <row r="60" customFormat="false" ht="15" hidden="false" customHeight="false" outlineLevel="0" collapsed="false">
      <c r="A60" s="3" t="s">
        <v>66</v>
      </c>
      <c r="B60" s="3" t="n">
        <v>1</v>
      </c>
      <c r="C60" s="3" t="s">
        <v>222</v>
      </c>
    </row>
    <row r="61" customFormat="false" ht="15" hidden="false" customHeight="false" outlineLevel="0" collapsed="false">
      <c r="A61" s="3" t="s">
        <v>67</v>
      </c>
      <c r="B61" s="3" t="n">
        <v>1</v>
      </c>
      <c r="C61" s="3" t="s">
        <v>223</v>
      </c>
    </row>
    <row r="62" customFormat="false" ht="15" hidden="false" customHeight="false" outlineLevel="0" collapsed="false">
      <c r="A62" s="3" t="s">
        <v>68</v>
      </c>
      <c r="B62" s="3" t="n">
        <v>1</v>
      </c>
      <c r="C62" s="3" t="s">
        <v>224</v>
      </c>
    </row>
    <row r="63" customFormat="false" ht="15" hidden="false" customHeight="false" outlineLevel="0" collapsed="false">
      <c r="A63" s="3" t="s">
        <v>69</v>
      </c>
      <c r="B63" s="3" t="n">
        <v>1</v>
      </c>
      <c r="C63" s="3" t="s">
        <v>225</v>
      </c>
    </row>
    <row r="64" customFormat="false" ht="15" hidden="false" customHeight="false" outlineLevel="0" collapsed="false">
      <c r="A64" s="3" t="s">
        <v>70</v>
      </c>
      <c r="B64" s="3" t="n">
        <v>1</v>
      </c>
      <c r="C64" s="3" t="s">
        <v>226</v>
      </c>
    </row>
    <row r="65" customFormat="false" ht="15" hidden="false" customHeight="false" outlineLevel="0" collapsed="false">
      <c r="A65" s="3" t="s">
        <v>71</v>
      </c>
      <c r="B65" s="3" t="n">
        <v>1</v>
      </c>
      <c r="C65" s="3" t="s">
        <v>227</v>
      </c>
    </row>
    <row r="66" customFormat="false" ht="15" hidden="false" customHeight="false" outlineLevel="0" collapsed="false">
      <c r="A66" s="3" t="s">
        <v>72</v>
      </c>
      <c r="B66" s="3" t="n">
        <v>1</v>
      </c>
      <c r="C66" s="3" t="s">
        <v>228</v>
      </c>
    </row>
    <row r="67" customFormat="false" ht="15" hidden="false" customHeight="false" outlineLevel="0" collapsed="false">
      <c r="A67" s="2" t="s">
        <v>73</v>
      </c>
    </row>
    <row r="68" customFormat="false" ht="15" hidden="false" customHeight="false" outlineLevel="0" collapsed="false">
      <c r="A68" s="2" t="s">
        <v>76</v>
      </c>
    </row>
    <row r="69" customFormat="false" ht="15" hidden="false" customHeight="false" outlineLevel="0" collapsed="false">
      <c r="A69" s="3" t="s">
        <v>77</v>
      </c>
      <c r="B69" s="3" t="n">
        <v>1</v>
      </c>
      <c r="C69" s="3" t="s">
        <v>229</v>
      </c>
    </row>
    <row r="70" customFormat="false" ht="15" hidden="false" customHeight="false" outlineLevel="0" collapsed="false">
      <c r="A70" s="3" t="s">
        <v>78</v>
      </c>
      <c r="B70" s="3" t="n">
        <v>1</v>
      </c>
      <c r="C70" s="3" t="s">
        <v>230</v>
      </c>
    </row>
    <row r="71" customFormat="false" ht="15" hidden="false" customHeight="false" outlineLevel="0" collapsed="false">
      <c r="A71" s="3" t="s">
        <v>79</v>
      </c>
      <c r="B71" s="3" t="n">
        <v>1</v>
      </c>
      <c r="C71" s="3" t="s">
        <v>231</v>
      </c>
    </row>
    <row r="72" customFormat="false" ht="15" hidden="false" customHeight="false" outlineLevel="0" collapsed="false">
      <c r="A72" s="3" t="s">
        <v>80</v>
      </c>
      <c r="B72" s="3" t="n">
        <v>1</v>
      </c>
      <c r="C72" s="3" t="s">
        <v>232</v>
      </c>
    </row>
    <row r="73" customFormat="false" ht="15" hidden="false" customHeight="false" outlineLevel="0" collapsed="false">
      <c r="A73" s="3" t="s">
        <v>81</v>
      </c>
      <c r="B73" s="3" t="n">
        <v>1</v>
      </c>
      <c r="C73" s="3" t="s">
        <v>233</v>
      </c>
    </row>
    <row r="75" customFormat="false" ht="15" hidden="false" customHeight="false" outlineLevel="0" collapsed="false">
      <c r="A75" s="4" t="s">
        <v>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true" showOutlineSymbols="true" defaultGridColor="true" view="normal" topLeftCell="A29" colorId="64" zoomScale="100" zoomScaleNormal="100" zoomScalePageLayoutView="100" workbookViewId="0">
      <selection pane="topLeft" activeCell="F54" activeCellId="0" sqref="F54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4.67"/>
    <col collapsed="false" customWidth="true" hidden="false" outlineLevel="0" max="2" min="2" style="0" width="27"/>
    <col collapsed="false" customWidth="true" hidden="false" outlineLevel="0" max="3" min="3" style="0" width="14.78"/>
    <col collapsed="false" customWidth="true" hidden="false" outlineLevel="0" max="4" min="4" style="0" width="19.89"/>
    <col collapsed="false" customWidth="true" hidden="false" outlineLevel="0" max="5" min="5" style="0" width="27.8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4.25" hidden="false" customHeight="false" outlineLevel="0" collapsed="false">
      <c r="A2" s="0" t="s">
        <v>235</v>
      </c>
      <c r="B2" s="0" t="n">
        <v>2</v>
      </c>
    </row>
    <row r="3" customFormat="false" ht="14.25" hidden="false" customHeight="false" outlineLevel="0" collapsed="false">
      <c r="A3" s="0" t="s">
        <v>236</v>
      </c>
      <c r="B3" s="0" t="n">
        <v>1</v>
      </c>
    </row>
    <row r="4" customFormat="false" ht="14.25" hidden="false" customHeight="false" outlineLevel="0" collapsed="false">
      <c r="A4" s="0" t="s">
        <v>237</v>
      </c>
      <c r="B4" s="0" t="n">
        <v>2</v>
      </c>
    </row>
    <row r="5" customFormat="false" ht="14.25" hidden="false" customHeight="false" outlineLevel="0" collapsed="false">
      <c r="A5" s="0" t="s">
        <v>238</v>
      </c>
      <c r="B5" s="0" t="n">
        <v>4</v>
      </c>
    </row>
    <row r="6" customFormat="false" ht="14.25" hidden="false" customHeight="false" outlineLevel="0" collapsed="false">
      <c r="A6" s="0" t="s">
        <v>239</v>
      </c>
      <c r="B6" s="0" t="n">
        <v>4</v>
      </c>
    </row>
    <row r="7" customFormat="false" ht="14.25" hidden="false" customHeight="false" outlineLevel="0" collapsed="false">
      <c r="A7" s="0" t="s">
        <v>240</v>
      </c>
      <c r="B7" s="0" t="n">
        <v>2</v>
      </c>
    </row>
    <row r="8" customFormat="false" ht="14.25" hidden="false" customHeight="false" outlineLevel="0" collapsed="false">
      <c r="A8" s="9" t="s">
        <v>241</v>
      </c>
      <c r="E8" s="0" t="n">
        <v>2</v>
      </c>
    </row>
    <row r="9" customFormat="false" ht="14.25" hidden="false" customHeight="false" outlineLevel="0" collapsed="false">
      <c r="A9" s="9" t="s">
        <v>242</v>
      </c>
      <c r="E9" s="0" t="n">
        <v>8</v>
      </c>
    </row>
    <row r="10" customFormat="false" ht="14.25" hidden="false" customHeight="false" outlineLevel="0" collapsed="false">
      <c r="A10" s="9" t="s">
        <v>243</v>
      </c>
      <c r="E10" s="0" t="n">
        <v>6</v>
      </c>
    </row>
    <row r="11" customFormat="false" ht="14.25" hidden="false" customHeight="false" outlineLevel="0" collapsed="false">
      <c r="A11" s="0" t="s">
        <v>244</v>
      </c>
      <c r="C11" s="0" t="n">
        <v>2</v>
      </c>
    </row>
    <row r="12" customFormat="false" ht="14.25" hidden="false" customHeight="false" outlineLevel="0" collapsed="false">
      <c r="A12" s="0" t="s">
        <v>245</v>
      </c>
      <c r="C12" s="0" t="n">
        <v>4</v>
      </c>
    </row>
    <row r="13" customFormat="false" ht="14.25" hidden="false" customHeight="false" outlineLevel="0" collapsed="false">
      <c r="A13" s="0" t="s">
        <v>246</v>
      </c>
      <c r="C13" s="0" t="n">
        <v>2</v>
      </c>
    </row>
    <row r="14" customFormat="false" ht="14.25" hidden="false" customHeight="false" outlineLevel="0" collapsed="false">
      <c r="A14" s="0" t="s">
        <v>247</v>
      </c>
      <c r="C14" s="0" t="n">
        <v>1</v>
      </c>
    </row>
    <row r="15" customFormat="false" ht="14.25" hidden="false" customHeight="false" outlineLevel="0" collapsed="false">
      <c r="A15" s="0" t="s">
        <v>248</v>
      </c>
      <c r="C15" s="0" t="n">
        <v>2</v>
      </c>
    </row>
    <row r="16" customFormat="false" ht="14.25" hidden="false" customHeight="false" outlineLevel="0" collapsed="false">
      <c r="A16" s="0" t="s">
        <v>249</v>
      </c>
      <c r="C16" s="0" t="n">
        <v>2</v>
      </c>
    </row>
    <row r="17" customFormat="false" ht="14.25" hidden="false" customHeight="false" outlineLevel="0" collapsed="false">
      <c r="A17" s="0" t="s">
        <v>250</v>
      </c>
      <c r="C17" s="0" t="n">
        <v>2</v>
      </c>
    </row>
    <row r="18" customFormat="false" ht="14.25" hidden="false" customHeight="false" outlineLevel="0" collapsed="false">
      <c r="A18" s="0" t="s">
        <v>251</v>
      </c>
      <c r="B18" s="0" t="n">
        <v>2</v>
      </c>
    </row>
    <row r="19" customFormat="false" ht="14.25" hidden="false" customHeight="false" outlineLevel="0" collapsed="false">
      <c r="A19" s="0" t="s">
        <v>252</v>
      </c>
      <c r="B19" s="0" t="n">
        <v>2</v>
      </c>
    </row>
    <row r="20" customFormat="false" ht="14.25" hidden="false" customHeight="false" outlineLevel="0" collapsed="false">
      <c r="A20" s="0" t="s">
        <v>253</v>
      </c>
      <c r="B20" s="0" t="n">
        <v>2</v>
      </c>
    </row>
    <row r="21" customFormat="false" ht="14.25" hidden="false" customHeight="false" outlineLevel="0" collapsed="false">
      <c r="A21" s="0" t="s">
        <v>254</v>
      </c>
      <c r="B21" s="0" t="n">
        <v>1</v>
      </c>
    </row>
    <row r="22" customFormat="false" ht="14.25" hidden="false" customHeight="false" outlineLevel="0" collapsed="false">
      <c r="A22" s="0" t="s">
        <v>255</v>
      </c>
      <c r="B22" s="0" t="n">
        <v>2</v>
      </c>
    </row>
    <row r="23" customFormat="false" ht="14.25" hidden="false" customHeight="false" outlineLevel="0" collapsed="false">
      <c r="A23" s="0" t="s">
        <v>256</v>
      </c>
      <c r="B23" s="0" t="n">
        <v>2</v>
      </c>
    </row>
    <row r="24" customFormat="false" ht="14.25" hidden="false" customHeight="false" outlineLevel="0" collapsed="false">
      <c r="A24" s="0" t="s">
        <v>257</v>
      </c>
      <c r="B24" s="0" t="n">
        <v>2</v>
      </c>
    </row>
    <row r="25" customFormat="false" ht="14.25" hidden="false" customHeight="false" outlineLevel="0" collapsed="false">
      <c r="A25" s="0" t="s">
        <v>258</v>
      </c>
      <c r="B25" s="0" t="n">
        <v>2</v>
      </c>
    </row>
    <row r="26" customFormat="false" ht="14.25" hidden="false" customHeight="false" outlineLevel="0" collapsed="false">
      <c r="A26" s="0" t="s">
        <v>259</v>
      </c>
      <c r="B26" s="0" t="n">
        <v>2</v>
      </c>
    </row>
    <row r="27" customFormat="false" ht="14.25" hidden="false" customHeight="false" outlineLevel="0" collapsed="false">
      <c r="A27" s="0" t="s">
        <v>260</v>
      </c>
      <c r="B27" s="0" t="n">
        <v>2</v>
      </c>
    </row>
    <row r="28" customFormat="false" ht="14.25" hidden="false" customHeight="false" outlineLevel="0" collapsed="false">
      <c r="A28" s="0" t="s">
        <v>261</v>
      </c>
      <c r="B28" s="0" t="n">
        <v>2</v>
      </c>
    </row>
    <row r="29" customFormat="false" ht="14.25" hidden="false" customHeight="false" outlineLevel="0" collapsed="false">
      <c r="A29" s="0" t="s">
        <v>262</v>
      </c>
      <c r="B29" s="0" t="n">
        <v>2</v>
      </c>
    </row>
    <row r="30" customFormat="false" ht="14.25" hidden="false" customHeight="false" outlineLevel="0" collapsed="false">
      <c r="A30" s="0" t="s">
        <v>263</v>
      </c>
      <c r="B30" s="0" t="n">
        <v>2</v>
      </c>
    </row>
    <row r="31" customFormat="false" ht="14.25" hidden="false" customHeight="false" outlineLevel="0" collapsed="false">
      <c r="A31" s="0" t="s">
        <v>264</v>
      </c>
      <c r="B31" s="0" t="n">
        <v>1</v>
      </c>
    </row>
    <row r="32" customFormat="false" ht="14.25" hidden="false" customHeight="false" outlineLevel="0" collapsed="false">
      <c r="A32" s="0" t="s">
        <v>265</v>
      </c>
      <c r="B32" s="0" t="n">
        <v>3</v>
      </c>
    </row>
    <row r="33" customFormat="false" ht="14.25" hidden="false" customHeight="false" outlineLevel="0" collapsed="false">
      <c r="A33" s="0" t="s">
        <v>266</v>
      </c>
      <c r="B33" s="0" t="n">
        <v>2</v>
      </c>
    </row>
    <row r="34" customFormat="false" ht="14.25" hidden="false" customHeight="false" outlineLevel="0" collapsed="false">
      <c r="A34" s="0" t="s">
        <v>267</v>
      </c>
      <c r="B34" s="0" t="n">
        <v>2</v>
      </c>
    </row>
    <row r="35" customFormat="false" ht="14.25" hidden="false" customHeight="false" outlineLevel="0" collapsed="false">
      <c r="A35" s="0" t="s">
        <v>268</v>
      </c>
      <c r="B35" s="0" t="n">
        <v>2</v>
      </c>
    </row>
    <row r="36" customFormat="false" ht="14.25" hidden="false" customHeight="false" outlineLevel="0" collapsed="false">
      <c r="A36" s="0" t="s">
        <v>269</v>
      </c>
      <c r="B36" s="0" t="n">
        <v>3</v>
      </c>
    </row>
    <row r="37" customFormat="false" ht="14.25" hidden="false" customHeight="false" outlineLevel="0" collapsed="false">
      <c r="A37" s="0" t="s">
        <v>270</v>
      </c>
      <c r="B37" s="0" t="n">
        <v>3</v>
      </c>
    </row>
    <row r="38" customFormat="false" ht="14.25" hidden="false" customHeight="false" outlineLevel="0" collapsed="false">
      <c r="A38" s="0" t="s">
        <v>271</v>
      </c>
      <c r="D38" s="0" t="n">
        <v>2</v>
      </c>
    </row>
    <row r="39" customFormat="false" ht="14.25" hidden="false" customHeight="false" outlineLevel="0" collapsed="false">
      <c r="A39" s="0" t="s">
        <v>272</v>
      </c>
      <c r="D39" s="0" t="n">
        <v>2</v>
      </c>
    </row>
    <row r="40" customFormat="false" ht="14.25" hidden="false" customHeight="false" outlineLevel="0" collapsed="false">
      <c r="A40" s="0" t="s">
        <v>273</v>
      </c>
      <c r="D40" s="0" t="n">
        <v>2</v>
      </c>
    </row>
    <row r="41" customFormat="false" ht="14.25" hidden="false" customHeight="false" outlineLevel="0" collapsed="false">
      <c r="A41" s="0" t="s">
        <v>274</v>
      </c>
      <c r="D41" s="0" t="n">
        <v>2</v>
      </c>
    </row>
    <row r="42" customFormat="false" ht="14.25" hidden="false" customHeight="false" outlineLevel="0" collapsed="false">
      <c r="A42" s="0" t="s">
        <v>275</v>
      </c>
      <c r="D42" s="0" t="n">
        <v>2</v>
      </c>
    </row>
    <row r="43" customFormat="false" ht="14.25" hidden="false" customHeight="false" outlineLevel="0" collapsed="false">
      <c r="A43" s="0" t="s">
        <v>276</v>
      </c>
      <c r="D43" s="0" t="n">
        <v>2</v>
      </c>
    </row>
    <row r="44" customFormat="false" ht="14.25" hidden="false" customHeight="false" outlineLevel="0" collapsed="false">
      <c r="A44" s="0" t="s">
        <v>277</v>
      </c>
      <c r="B44" s="0" t="n">
        <v>1</v>
      </c>
    </row>
    <row r="45" customFormat="false" ht="14.25" hidden="false" customHeight="false" outlineLevel="0" collapsed="false">
      <c r="A45" s="0" t="s">
        <v>278</v>
      </c>
      <c r="B45" s="0" t="n">
        <v>1</v>
      </c>
    </row>
    <row r="46" customFormat="false" ht="14.25" hidden="false" customHeight="false" outlineLevel="0" collapsed="false">
      <c r="A46" s="0" t="s">
        <v>278</v>
      </c>
      <c r="B46" s="0" t="n">
        <v>1</v>
      </c>
    </row>
    <row r="47" customFormat="false" ht="14.25" hidden="false" customHeight="false" outlineLevel="0" collapsed="false">
      <c r="A47" s="0" t="s">
        <v>279</v>
      </c>
      <c r="B47" s="0" t="n">
        <v>1</v>
      </c>
    </row>
    <row r="48" customFormat="false" ht="14.25" hidden="false" customHeight="false" outlineLevel="0" collapsed="false">
      <c r="A48" s="0" t="s">
        <v>280</v>
      </c>
      <c r="C48" s="0" t="n">
        <v>2</v>
      </c>
    </row>
    <row r="49" customFormat="false" ht="14.25" hidden="false" customHeight="false" outlineLevel="0" collapsed="false">
      <c r="A49" s="0" t="s">
        <v>281</v>
      </c>
      <c r="B49" s="0" t="n">
        <v>2</v>
      </c>
    </row>
    <row r="50" customFormat="false" ht="14.25" hidden="false" customHeight="false" outlineLevel="0" collapsed="false">
      <c r="A50" s="0" t="s">
        <v>282</v>
      </c>
      <c r="B50" s="0" t="n">
        <v>2</v>
      </c>
    </row>
    <row r="51" customFormat="false" ht="14.25" hidden="false" customHeight="false" outlineLevel="0" collapsed="false">
      <c r="A51" s="0" t="s">
        <v>283</v>
      </c>
      <c r="C51" s="0" t="n">
        <v>1</v>
      </c>
    </row>
    <row r="52" customFormat="false" ht="14.25" hidden="false" customHeight="false" outlineLevel="0" collapsed="false">
      <c r="A52" s="0" t="s">
        <v>284</v>
      </c>
      <c r="C52" s="0" t="n">
        <v>1</v>
      </c>
    </row>
    <row r="53" customFormat="false" ht="14.25" hidden="false" customHeight="false" outlineLevel="0" collapsed="false">
      <c r="A53" s="0" t="s">
        <v>5</v>
      </c>
      <c r="B53" s="0" t="n">
        <v>32</v>
      </c>
      <c r="C53" s="0" t="n">
        <v>10</v>
      </c>
      <c r="D53" s="0" t="n">
        <v>12</v>
      </c>
      <c r="E53" s="0" t="n">
        <v>16</v>
      </c>
      <c r="F53" s="0" t="n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2026-07-19T16:59:20Z</dcterms:created>
  <dc:creator>Rashmi Sekhri</dc:creator>
  <dc:description/>
  <dc:language>en-US</dc:language>
  <cp:lastModifiedBy>Rashmi Sekhri</cp:lastModifiedBy>
  <dcterms:modified xsi:type="dcterms:W3CDTF">2026-07-28T02:40:25Z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